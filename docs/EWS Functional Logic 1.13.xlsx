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8_{776D83C2-D825-41A9-8107-0B52D2F1BAF5}" xr6:coauthVersionLast="47" xr6:coauthVersionMax="47" xr10:uidLastSave="{00000000-0000-0000-0000-000000000000}"/>
  <bookViews>
    <workbookView xWindow="-90" yWindow="0" windowWidth="19330" windowHeight="10170" tabRatio="500" activeTab="1" xr2:uid="{00000000-000D-0000-FFFF-FFFF00000000}"/>
  </bookViews>
  <sheets>
    <sheet name="README" sheetId="1" r:id="rId1"/>
    <sheet name="Indicator Master" sheetId="2" r:id="rId2"/>
    <sheet name="Functional Logic" sheetId="3" r:id="rId3"/>
    <sheet name="Scoring Engine (Rules)" sheetId="4" r:id="rId4"/>
    <sheet name="Overall Score Engine" sheetId="5" r:id="rId5"/>
    <sheet name="Borrower Example" sheetId="6" r:id="rId6"/>
    <sheet name="Risk Bands (Config)" sheetId="7" r:id="rId7"/>
    <sheet name="Alert Lifecycle" sheetId="8" r:id="rId8"/>
    <sheet name="Recommendations" sheetId="9" r:id="rId9"/>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3" i="6" l="1"/>
  <c r="A12" i="6"/>
  <c r="A11" i="6"/>
  <c r="C76" i="5"/>
  <c r="C13" i="6" s="1"/>
  <c r="B76" i="5"/>
  <c r="B13" i="6" s="1"/>
  <c r="C75" i="5"/>
  <c r="C12" i="6" s="1"/>
  <c r="B75" i="5"/>
  <c r="B12" i="6" s="1"/>
  <c r="E74" i="5"/>
  <c r="E11" i="6" s="1"/>
  <c r="C74" i="5"/>
  <c r="C11" i="6" s="1"/>
  <c r="B74" i="5"/>
  <c r="B11" i="6" s="1"/>
  <c r="B69" i="5"/>
  <c r="J65" i="5"/>
  <c r="E65" i="5"/>
  <c r="D65" i="5"/>
  <c r="L65" i="5" s="1"/>
  <c r="J64" i="5"/>
  <c r="E64" i="5"/>
  <c r="D64" i="5"/>
  <c r="J63" i="5"/>
  <c r="O63" i="5" s="1"/>
  <c r="E63" i="5"/>
  <c r="K63" i="5" s="1"/>
  <c r="D63" i="5"/>
  <c r="J62" i="5"/>
  <c r="N62" i="5" s="1"/>
  <c r="E62" i="5"/>
  <c r="D62" i="5"/>
  <c r="J61" i="5"/>
  <c r="O61" i="5" s="1"/>
  <c r="E61" i="5"/>
  <c r="D61" i="5"/>
  <c r="J60" i="5"/>
  <c r="P60" i="5" s="1"/>
  <c r="E60" i="5"/>
  <c r="K60" i="5" s="1"/>
  <c r="D60" i="5"/>
  <c r="L59" i="5"/>
  <c r="J59" i="5"/>
  <c r="E59" i="5"/>
  <c r="K59" i="5" s="1"/>
  <c r="D59" i="5"/>
  <c r="J58" i="5"/>
  <c r="O58" i="5" s="1"/>
  <c r="E58" i="5"/>
  <c r="D58" i="5"/>
  <c r="L58" i="5" s="1"/>
  <c r="J57" i="5"/>
  <c r="K57" i="5" s="1"/>
  <c r="E57" i="5"/>
  <c r="D57" i="5"/>
  <c r="L57" i="5" s="1"/>
  <c r="J56" i="5"/>
  <c r="K56" i="5" s="1"/>
  <c r="E56" i="5"/>
  <c r="D56" i="5"/>
  <c r="L56" i="5" s="1"/>
  <c r="J55" i="5"/>
  <c r="N55" i="5" s="1"/>
  <c r="E55" i="5"/>
  <c r="K55" i="5" s="1"/>
  <c r="D55" i="5"/>
  <c r="J54" i="5"/>
  <c r="N54" i="5" s="1"/>
  <c r="E54" i="5"/>
  <c r="D54" i="5"/>
  <c r="J53" i="5"/>
  <c r="O53" i="5" s="1"/>
  <c r="E53" i="5"/>
  <c r="D53" i="5"/>
  <c r="K52" i="5"/>
  <c r="J52" i="5"/>
  <c r="P52" i="5" s="1"/>
  <c r="E52" i="5"/>
  <c r="D52" i="5"/>
  <c r="J51" i="5"/>
  <c r="E51" i="5"/>
  <c r="K51" i="5" s="1"/>
  <c r="D51" i="5"/>
  <c r="L51" i="5" s="1"/>
  <c r="J50" i="5"/>
  <c r="O50" i="5" s="1"/>
  <c r="E50" i="5"/>
  <c r="D50" i="5"/>
  <c r="L50" i="5" s="1"/>
  <c r="J49" i="5"/>
  <c r="E49" i="5"/>
  <c r="D49" i="5"/>
  <c r="J48" i="5"/>
  <c r="K48" i="5" s="1"/>
  <c r="E48" i="5"/>
  <c r="D48" i="5"/>
  <c r="J47" i="5"/>
  <c r="N47" i="5" s="1"/>
  <c r="E47" i="5"/>
  <c r="K47" i="5" s="1"/>
  <c r="D47" i="5"/>
  <c r="P46" i="5"/>
  <c r="J46" i="5"/>
  <c r="N46" i="5" s="1"/>
  <c r="E46" i="5"/>
  <c r="D46" i="5"/>
  <c r="J45" i="5"/>
  <c r="O45" i="5" s="1"/>
  <c r="E45" i="5"/>
  <c r="D45" i="5"/>
  <c r="K44" i="5"/>
  <c r="J44" i="5"/>
  <c r="P44" i="5" s="1"/>
  <c r="E44" i="5"/>
  <c r="D44" i="5"/>
  <c r="J43" i="5"/>
  <c r="E43" i="5"/>
  <c r="K43" i="5" s="1"/>
  <c r="D43" i="5"/>
  <c r="L43" i="5" s="1"/>
  <c r="J42" i="5"/>
  <c r="O42" i="5" s="1"/>
  <c r="E42" i="5"/>
  <c r="L42" i="5" s="1"/>
  <c r="D42" i="5"/>
  <c r="J41" i="5"/>
  <c r="E41" i="5"/>
  <c r="D41" i="5"/>
  <c r="P40" i="5"/>
  <c r="O40" i="5"/>
  <c r="N40" i="5"/>
  <c r="J40" i="5"/>
  <c r="K40" i="5" s="1"/>
  <c r="E40" i="5"/>
  <c r="D40" i="5"/>
  <c r="P39" i="5"/>
  <c r="O39" i="5"/>
  <c r="K39" i="5"/>
  <c r="J39" i="5"/>
  <c r="N39" i="5" s="1"/>
  <c r="E39" i="5"/>
  <c r="D39" i="5"/>
  <c r="L39" i="5" s="1"/>
  <c r="P38" i="5"/>
  <c r="J38" i="5"/>
  <c r="N38" i="5" s="1"/>
  <c r="E38" i="5"/>
  <c r="D38" i="5"/>
  <c r="J37" i="5"/>
  <c r="O37" i="5" s="1"/>
  <c r="E37" i="5"/>
  <c r="D37" i="5"/>
  <c r="K36" i="5"/>
  <c r="J36" i="5"/>
  <c r="E75" i="5" s="1"/>
  <c r="E12" i="6" s="1"/>
  <c r="E36" i="5"/>
  <c r="D36" i="5"/>
  <c r="J35" i="5"/>
  <c r="E35" i="5"/>
  <c r="K35" i="5" s="1"/>
  <c r="D35" i="5"/>
  <c r="L35" i="5" s="1"/>
  <c r="J34" i="5"/>
  <c r="E34" i="5"/>
  <c r="D34" i="5"/>
  <c r="L34" i="5" s="1"/>
  <c r="J33" i="5"/>
  <c r="E33" i="5"/>
  <c r="D33" i="5"/>
  <c r="J32" i="5"/>
  <c r="K32" i="5" s="1"/>
  <c r="E32" i="5"/>
  <c r="D32" i="5"/>
  <c r="J31" i="5"/>
  <c r="D76" i="5" s="1"/>
  <c r="E31" i="5"/>
  <c r="K31" i="5" s="1"/>
  <c r="D31" i="5"/>
  <c r="J30" i="5"/>
  <c r="N30" i="5" s="1"/>
  <c r="E30" i="5"/>
  <c r="D30" i="5"/>
  <c r="L30" i="5" s="1"/>
  <c r="J29" i="5"/>
  <c r="O29" i="5" s="1"/>
  <c r="E29" i="5"/>
  <c r="D29" i="5"/>
  <c r="J28" i="5"/>
  <c r="P28" i="5" s="1"/>
  <c r="E28" i="5"/>
  <c r="K28" i="5" s="1"/>
  <c r="D28" i="5"/>
  <c r="L27" i="5"/>
  <c r="J27" i="5"/>
  <c r="E27" i="5"/>
  <c r="K27" i="5" s="1"/>
  <c r="D27" i="5"/>
  <c r="J26" i="5"/>
  <c r="O26" i="5" s="1"/>
  <c r="E26" i="5"/>
  <c r="D26" i="5"/>
  <c r="L26" i="5" s="1"/>
  <c r="J25" i="5"/>
  <c r="K25" i="5" s="1"/>
  <c r="E25" i="5"/>
  <c r="D25" i="5"/>
  <c r="L25" i="5" s="1"/>
  <c r="J24" i="5"/>
  <c r="B9" i="5" s="1"/>
  <c r="E24" i="5"/>
  <c r="D24" i="5"/>
  <c r="L24" i="5" s="1"/>
  <c r="J23" i="5"/>
  <c r="N23" i="5" s="1"/>
  <c r="E23" i="5"/>
  <c r="K23" i="5" s="1"/>
  <c r="D23" i="5"/>
  <c r="B11" i="5"/>
  <c r="B10" i="5"/>
  <c r="B8" i="5"/>
  <c r="B7" i="5"/>
  <c r="R163" i="4"/>
  <c r="M163" i="4"/>
  <c r="L163" i="4"/>
  <c r="R162" i="4"/>
  <c r="M162" i="4"/>
  <c r="L162" i="4"/>
  <c r="R161" i="4"/>
  <c r="M161" i="4"/>
  <c r="L161" i="4"/>
  <c r="R160" i="4"/>
  <c r="M160" i="4"/>
  <c r="L160" i="4"/>
  <c r="R159" i="4"/>
  <c r="M159" i="4"/>
  <c r="L159" i="4"/>
  <c r="R158" i="4"/>
  <c r="M158" i="4"/>
  <c r="L158" i="4"/>
  <c r="R157" i="4"/>
  <c r="M157" i="4"/>
  <c r="L157" i="4"/>
  <c r="R156" i="4"/>
  <c r="M156" i="4"/>
  <c r="L156" i="4"/>
  <c r="R155" i="4"/>
  <c r="M155" i="4"/>
  <c r="L155" i="4"/>
  <c r="R154" i="4"/>
  <c r="M154" i="4"/>
  <c r="L154" i="4"/>
  <c r="R153" i="4"/>
  <c r="M153" i="4"/>
  <c r="L153" i="4"/>
  <c r="R152" i="4"/>
  <c r="M152" i="4"/>
  <c r="L152" i="4"/>
  <c r="R151" i="4"/>
  <c r="M151" i="4"/>
  <c r="L151" i="4"/>
  <c r="R150" i="4"/>
  <c r="M150" i="4"/>
  <c r="L150" i="4"/>
  <c r="R149" i="4"/>
  <c r="M149" i="4"/>
  <c r="L149" i="4"/>
  <c r="R148" i="4"/>
  <c r="M148" i="4"/>
  <c r="L148" i="4"/>
  <c r="R147" i="4"/>
  <c r="M147" i="4"/>
  <c r="L147" i="4"/>
  <c r="R146" i="4"/>
  <c r="M146" i="4"/>
  <c r="L146" i="4"/>
  <c r="R145" i="4"/>
  <c r="M145" i="4"/>
  <c r="L145" i="4"/>
  <c r="R144" i="4"/>
  <c r="M144" i="4"/>
  <c r="L144" i="4"/>
  <c r="R143" i="4"/>
  <c r="M143" i="4"/>
  <c r="L143" i="4"/>
  <c r="R142" i="4"/>
  <c r="M142" i="4"/>
  <c r="L142" i="4"/>
  <c r="R141" i="4"/>
  <c r="M141" i="4"/>
  <c r="L141" i="4"/>
  <c r="R140" i="4"/>
  <c r="M140" i="4"/>
  <c r="L140" i="4"/>
  <c r="R139" i="4"/>
  <c r="M139" i="4"/>
  <c r="L139" i="4"/>
  <c r="R138" i="4"/>
  <c r="M138" i="4"/>
  <c r="L138" i="4"/>
  <c r="R137" i="4"/>
  <c r="M137" i="4"/>
  <c r="L137" i="4"/>
  <c r="R136" i="4"/>
  <c r="M136" i="4"/>
  <c r="L136" i="4"/>
  <c r="R135" i="4"/>
  <c r="M135" i="4"/>
  <c r="L135" i="4"/>
  <c r="R134" i="4"/>
  <c r="M134" i="4"/>
  <c r="L134" i="4"/>
  <c r="R133" i="4"/>
  <c r="M133" i="4"/>
  <c r="L133" i="4"/>
  <c r="R132" i="4"/>
  <c r="M132" i="4"/>
  <c r="L132" i="4"/>
  <c r="R131" i="4"/>
  <c r="M131" i="4"/>
  <c r="L131" i="4"/>
  <c r="R130" i="4"/>
  <c r="M130" i="4"/>
  <c r="L130" i="4"/>
  <c r="R129" i="4"/>
  <c r="M129" i="4"/>
  <c r="L129" i="4"/>
  <c r="R128" i="4"/>
  <c r="M128" i="4"/>
  <c r="L128" i="4"/>
  <c r="R127" i="4"/>
  <c r="M127" i="4"/>
  <c r="L127" i="4"/>
  <c r="R126" i="4"/>
  <c r="M126" i="4"/>
  <c r="L126" i="4"/>
  <c r="R125" i="4"/>
  <c r="M125" i="4"/>
  <c r="L125" i="4"/>
  <c r="R124" i="4"/>
  <c r="M124" i="4"/>
  <c r="L124" i="4"/>
  <c r="R123" i="4"/>
  <c r="M123" i="4"/>
  <c r="L123" i="4"/>
  <c r="R122" i="4"/>
  <c r="M122" i="4"/>
  <c r="L122" i="4"/>
  <c r="R121" i="4"/>
  <c r="M121" i="4"/>
  <c r="L121" i="4"/>
  <c r="R120" i="4"/>
  <c r="M120" i="4"/>
  <c r="L120" i="4"/>
  <c r="R119" i="4"/>
  <c r="M119" i="4"/>
  <c r="L119" i="4"/>
  <c r="R118" i="4"/>
  <c r="M118" i="4"/>
  <c r="L118" i="4"/>
  <c r="R117" i="4"/>
  <c r="M117" i="4"/>
  <c r="L117" i="4"/>
  <c r="R116" i="4"/>
  <c r="M116" i="4"/>
  <c r="L116" i="4"/>
  <c r="R115" i="4"/>
  <c r="M115" i="4"/>
  <c r="L115" i="4"/>
  <c r="R114" i="4"/>
  <c r="M114" i="4"/>
  <c r="L114" i="4"/>
  <c r="R113" i="4"/>
  <c r="M113" i="4"/>
  <c r="L113" i="4"/>
  <c r="R112" i="4"/>
  <c r="M112" i="4"/>
  <c r="L112" i="4"/>
  <c r="R111" i="4"/>
  <c r="M111" i="4"/>
  <c r="L111" i="4"/>
  <c r="R110" i="4"/>
  <c r="M110" i="4"/>
  <c r="L110" i="4"/>
  <c r="R109" i="4"/>
  <c r="M109" i="4"/>
  <c r="L109" i="4"/>
  <c r="R108" i="4"/>
  <c r="M108" i="4"/>
  <c r="L108" i="4"/>
  <c r="R107" i="4"/>
  <c r="M107" i="4"/>
  <c r="L107" i="4"/>
  <c r="R106" i="4"/>
  <c r="M106" i="4"/>
  <c r="L106" i="4"/>
  <c r="R105" i="4"/>
  <c r="M105" i="4"/>
  <c r="L105" i="4"/>
  <c r="R104" i="4"/>
  <c r="M104" i="4"/>
  <c r="L104" i="4"/>
  <c r="R103" i="4"/>
  <c r="M103" i="4"/>
  <c r="L103" i="4"/>
  <c r="R102" i="4"/>
  <c r="M102" i="4"/>
  <c r="L102" i="4"/>
  <c r="R101" i="4"/>
  <c r="M101" i="4"/>
  <c r="L101" i="4"/>
  <c r="R100" i="4"/>
  <c r="M100" i="4"/>
  <c r="L100" i="4"/>
  <c r="R99" i="4"/>
  <c r="M99" i="4"/>
  <c r="L99" i="4"/>
  <c r="R98" i="4"/>
  <c r="M98" i="4"/>
  <c r="L98" i="4"/>
  <c r="R97" i="4"/>
  <c r="M97" i="4"/>
  <c r="L97" i="4"/>
  <c r="R96" i="4"/>
  <c r="M96" i="4"/>
  <c r="L96" i="4"/>
  <c r="R95" i="4"/>
  <c r="M95" i="4"/>
  <c r="L95" i="4"/>
  <c r="R94" i="4"/>
  <c r="M94" i="4"/>
  <c r="L94" i="4"/>
  <c r="R93" i="4"/>
  <c r="M93" i="4"/>
  <c r="L93" i="4"/>
  <c r="R92" i="4"/>
  <c r="M92" i="4"/>
  <c r="L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M50" i="4"/>
  <c r="L50" i="4"/>
  <c r="R49" i="4"/>
  <c r="M49" i="4"/>
  <c r="L49" i="4"/>
  <c r="R48" i="4"/>
  <c r="M48" i="4"/>
  <c r="L48" i="4"/>
  <c r="R47" i="4"/>
  <c r="M47" i="4"/>
  <c r="L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M29" i="4"/>
  <c r="L29" i="4"/>
  <c r="R28" i="4"/>
  <c r="M28" i="4"/>
  <c r="L28" i="4"/>
  <c r="R27" i="4"/>
  <c r="M27" i="4"/>
  <c r="L27" i="4"/>
  <c r="R26" i="4"/>
  <c r="M26" i="4"/>
  <c r="L26" i="4"/>
  <c r="R25" i="4"/>
  <c r="M25" i="4"/>
  <c r="L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H29" i="9" s="1"/>
  <c r="M5" i="4"/>
  <c r="L5" i="4"/>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L33" i="5" l="1"/>
  <c r="L49" i="5"/>
  <c r="L64" i="5"/>
  <c r="L31" i="5"/>
  <c r="K33" i="5"/>
  <c r="L47" i="5"/>
  <c r="K49" i="5"/>
  <c r="L63" i="5"/>
  <c r="L38" i="5"/>
  <c r="L41" i="5"/>
  <c r="L54" i="5"/>
  <c r="K65" i="5"/>
  <c r="D75" i="5"/>
  <c r="D12" i="6" s="1"/>
  <c r="L32" i="5"/>
  <c r="E76" i="5"/>
  <c r="E13" i="6" s="1"/>
  <c r="L40" i="5"/>
  <c r="K41" i="5"/>
  <c r="L48" i="5"/>
  <c r="L23" i="5"/>
  <c r="L46" i="5"/>
  <c r="L55" i="5"/>
  <c r="B12" i="5"/>
  <c r="D13" i="6"/>
  <c r="F76" i="5"/>
  <c r="F13" i="6" s="1"/>
  <c r="F75" i="5"/>
  <c r="F12" i="6" s="1"/>
  <c r="M23" i="5"/>
  <c r="M24" i="5" s="1"/>
  <c r="M25" i="5" s="1"/>
  <c r="M26" i="5" s="1"/>
  <c r="M27" i="5" s="1"/>
  <c r="M28" i="5" s="1"/>
  <c r="P23" i="5"/>
  <c r="P31" i="5"/>
  <c r="K26" i="5"/>
  <c r="P29" i="5"/>
  <c r="O30" i="5"/>
  <c r="N31" i="5"/>
  <c r="K34" i="5"/>
  <c r="P37" i="5"/>
  <c r="O38" i="5"/>
  <c r="K42" i="5"/>
  <c r="P45" i="5"/>
  <c r="O46" i="5"/>
  <c r="K50" i="5"/>
  <c r="P53" i="5"/>
  <c r="O54" i="5"/>
  <c r="K58" i="5"/>
  <c r="P61" i="5"/>
  <c r="O62" i="5"/>
  <c r="N63" i="5"/>
  <c r="F22" i="9"/>
  <c r="H24" i="9"/>
  <c r="G27" i="9"/>
  <c r="O23" i="5"/>
  <c r="N24" i="5"/>
  <c r="P30" i="5"/>
  <c r="O31" i="5"/>
  <c r="N32" i="5"/>
  <c r="O47" i="5"/>
  <c r="N48" i="5"/>
  <c r="P54" i="5"/>
  <c r="O55" i="5"/>
  <c r="N56" i="5"/>
  <c r="P62" i="5"/>
  <c r="N64" i="5"/>
  <c r="D74" i="5"/>
  <c r="G22" i="9"/>
  <c r="F25" i="9"/>
  <c r="H27" i="9"/>
  <c r="H22" i="9"/>
  <c r="G25" i="9"/>
  <c r="F28" i="9"/>
  <c r="P24" i="5"/>
  <c r="O25" i="5"/>
  <c r="N26" i="5"/>
  <c r="L28" i="5"/>
  <c r="K29" i="5"/>
  <c r="P32" i="5"/>
  <c r="O33" i="5"/>
  <c r="N34" i="5"/>
  <c r="L36" i="5"/>
  <c r="K37" i="5"/>
  <c r="O41" i="5"/>
  <c r="N42" i="5"/>
  <c r="L44" i="5"/>
  <c r="K45" i="5"/>
  <c r="P48" i="5"/>
  <c r="O49" i="5"/>
  <c r="N50" i="5"/>
  <c r="L52" i="5"/>
  <c r="K53" i="5"/>
  <c r="P56" i="5"/>
  <c r="O57" i="5"/>
  <c r="N58" i="5"/>
  <c r="L60" i="5"/>
  <c r="K61" i="5"/>
  <c r="P64" i="5"/>
  <c r="O65" i="5"/>
  <c r="F23" i="9"/>
  <c r="H25" i="9"/>
  <c r="G28" i="9"/>
  <c r="N25" i="5"/>
  <c r="N33" i="5"/>
  <c r="P47" i="5"/>
  <c r="N49" i="5"/>
  <c r="O56" i="5"/>
  <c r="P63" i="5"/>
  <c r="P25" i="5"/>
  <c r="N27" i="5"/>
  <c r="L29" i="5"/>
  <c r="K30" i="5"/>
  <c r="P33" i="5"/>
  <c r="O34" i="5"/>
  <c r="N35" i="5"/>
  <c r="L37" i="5"/>
  <c r="K38" i="5"/>
  <c r="P41" i="5"/>
  <c r="N43" i="5"/>
  <c r="L45" i="5"/>
  <c r="K46" i="5"/>
  <c r="P49" i="5"/>
  <c r="N51" i="5"/>
  <c r="L53" i="5"/>
  <c r="K54" i="5"/>
  <c r="P57" i="5"/>
  <c r="N59" i="5"/>
  <c r="L61" i="5"/>
  <c r="K62" i="5"/>
  <c r="P65" i="5"/>
  <c r="G23" i="9"/>
  <c r="F26" i="9"/>
  <c r="H28" i="9"/>
  <c r="O24" i="5"/>
  <c r="O48" i="5"/>
  <c r="P55" i="5"/>
  <c r="N57" i="5"/>
  <c r="O64" i="5"/>
  <c r="N65" i="5"/>
  <c r="P26" i="5"/>
  <c r="O27" i="5"/>
  <c r="N28" i="5"/>
  <c r="P34" i="5"/>
  <c r="O35" i="5"/>
  <c r="N36" i="5"/>
  <c r="P42" i="5"/>
  <c r="O43" i="5"/>
  <c r="N44" i="5"/>
  <c r="P50" i="5"/>
  <c r="O51" i="5"/>
  <c r="N52" i="5"/>
  <c r="P58" i="5"/>
  <c r="O59" i="5"/>
  <c r="N60" i="5"/>
  <c r="L62" i="5"/>
  <c r="H23" i="9"/>
  <c r="G26" i="9"/>
  <c r="F29" i="9"/>
  <c r="O32" i="5"/>
  <c r="N41" i="5"/>
  <c r="K24" i="5"/>
  <c r="P27" i="5"/>
  <c r="O28" i="5"/>
  <c r="N29" i="5"/>
  <c r="P35" i="5"/>
  <c r="O36" i="5"/>
  <c r="N37" i="5"/>
  <c r="P43" i="5"/>
  <c r="O44" i="5"/>
  <c r="N45" i="5"/>
  <c r="P51" i="5"/>
  <c r="O52" i="5"/>
  <c r="N53" i="5"/>
  <c r="P59" i="5"/>
  <c r="O60" i="5"/>
  <c r="N61" i="5"/>
  <c r="K64" i="5"/>
  <c r="F24" i="9"/>
  <c r="H26" i="9"/>
  <c r="G29" i="9"/>
  <c r="P36" i="5"/>
  <c r="G24" i="9"/>
  <c r="F27" i="9"/>
  <c r="B13" i="5" l="1"/>
  <c r="B14" i="5" s="1"/>
  <c r="B15" i="5"/>
  <c r="B7" i="6" s="1"/>
  <c r="A7" i="6"/>
  <c r="M29" i="5"/>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M62" i="5" s="1"/>
  <c r="M63" i="5" s="1"/>
  <c r="M64" i="5" s="1"/>
  <c r="M65" i="5" s="1"/>
  <c r="B17" i="5" s="1"/>
  <c r="E7" i="6" s="1"/>
  <c r="F74" i="5"/>
  <c r="D11" i="6"/>
  <c r="B70" i="5"/>
  <c r="C7" i="6"/>
  <c r="B78" i="5" l="1"/>
  <c r="B77" i="5"/>
  <c r="F11" i="6"/>
  <c r="B16" i="5"/>
  <c r="D7" i="6" l="1"/>
  <c r="B19" i="5"/>
  <c r="B18" i="5"/>
  <c r="F7" i="6" s="1"/>
</calcChain>
</file>

<file path=xl/sharedStrings.xml><?xml version="1.0" encoding="utf-8"?>
<sst xmlns="http://schemas.openxmlformats.org/spreadsheetml/2006/main" count="3238" uniqueCount="1150">
  <si>
    <t>EWS Functional Logic &amp; Scoring Workbook (v1.13)</t>
  </si>
  <si>
    <t>43 indicators (EWS-001…EWS-043). “Security Cover” removed; DSCR, Leverage Ratio, Current Ratio and Carbon Emission thresholds revised per the Indicator Master. Critical Combination rule retained.</t>
  </si>
  <si>
    <t>What changed in v1.13</t>
  </si>
  <si>
    <t>• Removed the indicator “Security Cover” (was EWS-044) from every sheet.</t>
  </si>
  <si>
    <t>• Revised thresholds/scores per the Indicator Master for DSCR (EWS-041: 1.25–1.50 = 0, &lt;1.25 = 40), Leverage Ratio (EWS-042: ≤2.0 = 0, 2.0–3.0 = 10, &gt;3.0 = 40), Current Ratio (EWS-043: ≥1.33 = 0, 1–1.33 = 10, &lt;1.00 = 40) and Carbon Emission (EWS-038: within norms = 0, breach = 15, penalty/action = 40).</t>
  </si>
  <si>
    <t>• Sequence remains continuous EWS-001…EWS-043 (43 indicators) — the removed indicator was last, so no renumbering of others was needed.</t>
  </si>
  <si>
    <t>• All downstream sheets (Functional Logic, Scoring Engine (Rules), Overall Score Engine, Borrower Example, Recommendations) rebuilt from the Indicator Master.</t>
  </si>
  <si>
    <t>• The Critical Combination rule is unchanged (pairs EWS-004/011, EWS-005/014, EWS-009/012).</t>
  </si>
  <si>
    <t>Scoring &amp; combination logic</t>
  </si>
  <si>
    <t>• Normalised = Raw ÷ Max Score × 100. Overall = average of normalised of applicable indicators with valid data (missing excluded, N/A excluded).</t>
  </si>
  <si>
    <t>• Critical Override fires on (a) any Critical indicator at its trigger, OR (b) any Critical Combination pair co-occurring (both members breached above Normal — trigger configurable on the Config sheet).</t>
  </si>
  <si>
    <t>• Pair 1 — EWS-004 (Payment Default Frequency) + EWS-011 (Creditor days).  Pair 2 — EWS-005 (Repayment source) + EWS-014 (Unsecured loans change %).  Pair 3 — EWS-009 (Debtor days) + EWS-012 (Provisions/write-offs).</t>
  </si>
  <si>
    <t>Sheets</t>
  </si>
  <si>
    <t>• Indicator Master · Functional Logic · Scoring Engine (Rules) · Overall Score Engine (with the Critical Combination block) · Borrower Example · Risk Bands (Config) · Alert Lifecycle · Recommendations.</t>
  </si>
  <si>
    <t>EWS Indicator Master</t>
  </si>
  <si>
    <t>UID</t>
  </si>
  <si>
    <t>Module</t>
  </si>
  <si>
    <t>Indicator</t>
  </si>
  <si>
    <t>Description</t>
  </si>
  <si>
    <t>Category</t>
  </si>
  <si>
    <t>Critical (Yes/No)</t>
  </si>
  <si>
    <t>What to Track (Input)</t>
  </si>
  <si>
    <t>Data Source Channel</t>
  </si>
  <si>
    <t>Acquisition Mechanism</t>
  </si>
  <si>
    <t>Data Type</t>
  </si>
  <si>
    <t>Update Frequency</t>
  </si>
  <si>
    <t>Functional Calculation Formula</t>
  </si>
  <si>
    <t>Threshold &amp; Score</t>
  </si>
  <si>
    <t>Max Score</t>
  </si>
  <si>
    <t>EWS-001</t>
  </si>
  <si>
    <t>EWS</t>
  </si>
  <si>
    <t>Utilization % (outstanding / sanctioned)</t>
  </si>
  <si>
    <t>High utilization of working capital limits</t>
  </si>
  <si>
    <t>Account Conduct</t>
  </si>
  <si>
    <t>No</t>
  </si>
  <si>
    <t>CC/OD utilization above 85-90% continuously</t>
  </si>
  <si>
    <t>Bank Core System (CBS)</t>
  </si>
  <si>
    <t>Direct CBS extract</t>
  </si>
  <si>
    <t>Quantitative</t>
  </si>
  <si>
    <t>Daily</t>
  </si>
  <si>
    <t>Utilization% = Utilized / Sanctioned; flag if &gt;85% sustained</t>
  </si>
  <si>
    <t>&lt;85% = 0  |  85-90% = 10  |  90-95% = 20  | &gt;95% for 30+ days = 30</t>
  </si>
  <si>
    <t>EWS-002</t>
  </si>
  <si>
    <t>Count of ad-hoc limit requests (rolling 12m)</t>
  </si>
  <si>
    <t>Frequent ad-hoc limit requests</t>
  </si>
  <si>
    <t>Temporary limit enhancement requests</t>
  </si>
  <si>
    <t>Map in data discovery</t>
  </si>
  <si>
    <t>Event</t>
  </si>
  <si>
    <t>Compute Count of ad-hoc limit requests (rolling 12m) then compare to threshold bands</t>
  </si>
  <si>
    <t>0-1 request/year = 0  |  2 = 10  |  3+ = 20  |  emergency request = 30</t>
  </si>
  <si>
    <t>EWS-003</t>
  </si>
  <si>
    <t>Monthly sales vs credit summation</t>
  </si>
  <si>
    <t>Lower bank account credits (Not applicable to Consortium Account)</t>
  </si>
  <si>
    <t>Yes</t>
  </si>
  <si>
    <t>Reduction in monthly credits in operating account</t>
  </si>
  <si>
    <t>Monthly</t>
  </si>
  <si>
    <t>CreditChange% = (CurrentMonthCredits - Baseline)/Baseline</t>
  </si>
  <si>
    <t>Stable/Variation upto 5% = 0  | 5-10% decline = 10  | 10-15% decline = 20  | &gt;15% = 35</t>
  </si>
  <si>
    <t>EWS-004</t>
  </si>
  <si>
    <t>Payment Default Frequency</t>
  </si>
  <si>
    <t>Frequent Cheque Bounces</t>
  </si>
  <si>
    <t>Cheque returns, Cheque Bounce, ECS bounce, frequent TODs</t>
  </si>
  <si>
    <t>Compute Count of conduct events (rolling 90d) then compare to threshold bands</t>
  </si>
  <si>
    <t>0 = 0  |  1 = 5  |  2 = 15  |  3+ in 90 days = 25</t>
  </si>
  <si>
    <t>EWS-005</t>
  </si>
  <si>
    <t>Repayment source classification</t>
  </si>
  <si>
    <t>Repayment out of other source of funds instead of sales</t>
  </si>
  <si>
    <t>Repayment from unrelated parties or group accounts</t>
  </si>
  <si>
    <t>Qualitative</t>
  </si>
  <si>
    <t>Classify event severity for 'Change in repayment source' (no numeric calc)</t>
  </si>
  <si>
    <t>Own operating cash flow = 0  |  group support = 15  |  unrelated source = 30  |  repeated third-party payments = 40</t>
  </si>
  <si>
    <t>EWS-006</t>
  </si>
  <si>
    <t>Stock reported vs audited variance %</t>
  </si>
  <si>
    <t>Mismatch in stock statement and financials</t>
  </si>
  <si>
    <t>Audit</t>
  </si>
  <si>
    <t>Difference between reported stock and audited numbers</t>
  </si>
  <si>
    <t>Bank-provided Financial Statements</t>
  </si>
  <si>
    <t>Audited financials / CMA</t>
  </si>
  <si>
    <t>Quarterly</t>
  </si>
  <si>
    <t>Compute Stock reported vs audited variance % then compare to threshold bands</t>
  </si>
  <si>
    <t>0% variance = 0 | upto 10% = 10 | upto 20% = 20 | &gt;20% = 30</t>
  </si>
  <si>
    <t>EWS-007</t>
  </si>
  <si>
    <t>Sales turnover YoY/QoQ change %</t>
  </si>
  <si>
    <t>Decline in sales turnover</t>
  </si>
  <si>
    <t>Financial Performance</t>
  </si>
  <si>
    <t>Monthly/quarterly sales drop</t>
  </si>
  <si>
    <t>SalesChange% vs prior comparable period</t>
  </si>
  <si>
    <t>EWS-008</t>
  </si>
  <si>
    <t>EBITDA margin change %</t>
  </si>
  <si>
    <t>Decline in operating profit margin</t>
  </si>
  <si>
    <t>EBITDA margin falling over periods</t>
  </si>
  <si>
    <t>Compute EBITDA margin change % then compare to threshold bands</t>
  </si>
  <si>
    <t>EWS-009</t>
  </si>
  <si>
    <t xml:space="preserve">Debtor days vs normal </t>
  </si>
  <si>
    <t>Rising debtor days</t>
  </si>
  <si>
    <t>Receivable days increasing sharply</t>
  </si>
  <si>
    <t>DebtorDaysDelta = DebtorDays - Normal</t>
  </si>
  <si>
    <t xml:space="preserve">Within normal = 0  | upto 10 days = 10  | 10-20 days = 20  |  &gt;20 days = 30 </t>
  </si>
  <si>
    <t>EWS-010</t>
  </si>
  <si>
    <t xml:space="preserve">Inventory days vs normal </t>
  </si>
  <si>
    <t>Rising inventory days</t>
  </si>
  <si>
    <t>Inventory holding period increasing</t>
  </si>
  <si>
    <t>Compute Inventory days vs normal (delta days) then compare to threshold bands</t>
  </si>
  <si>
    <t>Within normal = 0  |  +15-30 days = 10  |  +30-60 days = 20  |  +60 days = 30</t>
  </si>
  <si>
    <t>EWS-011</t>
  </si>
  <si>
    <t xml:space="preserve">Creditor days vs normal </t>
  </si>
  <si>
    <t>Rising creditor days</t>
  </si>
  <si>
    <t>Payables increasing beyond normal cycle</t>
  </si>
  <si>
    <t>Compute Creditor days vs normal (delta days) then compare to threshold bands</t>
  </si>
  <si>
    <t>EWS-012</t>
  </si>
  <si>
    <t>Provisions/write-offs change %</t>
  </si>
  <si>
    <t>Large write-offs or provisions</t>
  </si>
  <si>
    <t>Increase in bad debts / provisions</t>
  </si>
  <si>
    <t>Annual</t>
  </si>
  <si>
    <t>Compute Provisions/write-offs change % then compare to threshold bands</t>
  </si>
  <si>
    <t xml:space="preserve">≤ 10% increase = 0  |  &gt;10% to 25% increase = 15  |  &gt;25% to 50% increase = 30  |  &gt;50% increase = 40
 </t>
  </si>
  <si>
    <t>EWS-013</t>
  </si>
  <si>
    <t>Actual vs CMA projection variance %</t>
  </si>
  <si>
    <t>Projected vs actual performance mismatch</t>
  </si>
  <si>
    <t>Actual sales/profit/cash flow lower than CMA projections</t>
  </si>
  <si>
    <t>Bank Core System (CBS) + Financials Statement</t>
  </si>
  <si>
    <t>Compute Actual vs CMA projection variance % then compare to threshold bands</t>
  </si>
  <si>
    <t>&lt;5% = 0  |  5-10% = 10  |  10-15% = 20  |  &gt;15% = 35</t>
  </si>
  <si>
    <t>EWS-014</t>
  </si>
  <si>
    <t>Unsecured loans change %</t>
  </si>
  <si>
    <t>Large unsecured loans taken</t>
  </si>
  <si>
    <t>Increase in loans from promoters/group/private lenders</t>
  </si>
  <si>
    <t>Compute Unsecured loans change % then compare to threshold bands</t>
  </si>
  <si>
    <t>≤ 10% increase = 0  |  &gt;10% to 25% increase = 10  |   &gt;25% to 50% increase = 25   |  &gt;50% increase = 35</t>
  </si>
  <si>
    <t>EWS-015</t>
  </si>
  <si>
    <t>Finance cost growth vs sales growth %</t>
  </si>
  <si>
    <t>High finance cost growth</t>
  </si>
  <si>
    <t>Interest cost rising faster than sales/profit</t>
  </si>
  <si>
    <t>Compute Finance cost growth vs sales growth % then compare to threshold bands</t>
  </si>
  <si>
    <t>Stable = 0  |  deterioration 10-20% = 10  |  20-40% = 20  |  &gt;40% or negative net worth = 40</t>
  </si>
  <si>
    <t>EWS-016</t>
  </si>
  <si>
    <t>LC devolvement events</t>
  </si>
  <si>
    <t>LC devolvement</t>
  </si>
  <si>
    <t>Facility Conduct</t>
  </si>
  <si>
    <t>Letter of credit not honoured by borrower</t>
  </si>
  <si>
    <t>Bank System (Trade Fin.)</t>
  </si>
  <si>
    <t>Trade-finance / Non-Fund Based (NFB) module</t>
  </si>
  <si>
    <t>Classify event severity for 'LC devolvement' (no numeric calc)</t>
  </si>
  <si>
    <t>No event = 0  |  one event = 15  |  repeated events = 50</t>
  </si>
  <si>
    <t>EWS-017</t>
  </si>
  <si>
    <t>BG invocation events</t>
  </si>
  <si>
    <t>Bank guarantee invocation</t>
  </si>
  <si>
    <t>BG invoked by beneficiary</t>
  </si>
  <si>
    <t>Classify event severity for 'Bank guarantee invocation' (no numeric calc)</t>
  </si>
  <si>
    <t>EWS-018</t>
  </si>
  <si>
    <t>Rating notch movement</t>
  </si>
  <si>
    <t>Internal Rating downgrade</t>
  </si>
  <si>
    <t>Rating</t>
  </si>
  <si>
    <t>Internal credit rating downgrade</t>
  </si>
  <si>
    <t>External (Subscription)</t>
  </si>
  <si>
    <t>Rating-agency feed / internal rating</t>
  </si>
  <si>
    <t>Classify event severity for 'Rating downgrade' (no numeric calc)</t>
  </si>
  <si>
    <t>No change = 0  |  one-notch downgrade = 15  |  multi-notch/watchlist = 25  |  below investment grade = 40</t>
  </si>
  <si>
    <t>EWS-019</t>
  </si>
  <si>
    <t xml:space="preserve">Frequent change in Financial year/Accounting period </t>
  </si>
  <si>
    <t>Frequent change in Financial year/Accounting period of borrower</t>
  </si>
  <si>
    <t>Financial Reporting</t>
  </si>
  <si>
    <t>Change in Financial year, unusual extension or shortening of financial year</t>
  </si>
  <si>
    <t>External + Internal Docs</t>
  </si>
  <si>
    <t>Audited financials and Ministry of Corporate Affairs (MCA) filings</t>
  </si>
  <si>
    <t>Count auditor/audit-year changes over a defined historical period and assess associated audit observations/qualifications</t>
  </si>
  <si>
    <t>No change/irregularity = 0 | Change in FY = 10 | Frequent/repeated change in FY = 25 | Change in FY accompanied by going-concern/adverse opinion or significant reporting concern = 40</t>
  </si>
  <si>
    <t>EWS-020</t>
  </si>
  <si>
    <t>Auditor change events</t>
  </si>
  <si>
    <t>Frequent change of auditor</t>
  </si>
  <si>
    <t>Auditor resignation or repeated change</t>
  </si>
  <si>
    <t>Classify event severity for 'Frequent change of auditors' (no numeric calc)</t>
  </si>
  <si>
    <t>No issue = 0  |  delayed/minor qualification = 10  |  material qualification/change = 25  |  going concern/adverse = 40</t>
  </si>
  <si>
    <t>EWS-021</t>
  </si>
  <si>
    <t>Key management change events</t>
  </si>
  <si>
    <t>Key personnel resignation or management exit</t>
  </si>
  <si>
    <t>Management Risk</t>
  </si>
  <si>
    <t>Key promoter/director/CFO exit</t>
  </si>
  <si>
    <t>Classify event severity for 'Promoter resignation or management exit' (no numeric calc)</t>
  </si>
  <si>
    <t>No adverse change = 0  |  moderate change = 10  |  sudden key exit = 25  |  control issue = 40</t>
  </si>
  <si>
    <t>EWS-022</t>
  </si>
  <si>
    <t xml:space="preserve">% promoter shares pledged </t>
  </si>
  <si>
    <t>Promoter share pledge increase</t>
  </si>
  <si>
    <t>Higher pledged promoter shares</t>
  </si>
  <si>
    <t>External (Market/Filings)</t>
  </si>
  <si>
    <t>Exchange/Ministry of Corporate Affairs (MCA) filings</t>
  </si>
  <si>
    <t>Compute % promoter shares pledged (delta) then compare to threshold bands</t>
  </si>
  <si>
    <t>≤0% = 0 | &gt;0% to ≤5% = 10 | &gt;5% to ≤10% = 20 | &gt;10% to ≤20% = 30 | &gt;20% = 40</t>
  </si>
  <si>
    <t>EWS-023</t>
  </si>
  <si>
    <t>Decline in promoter holding %</t>
  </si>
  <si>
    <t>Decline in promoter holding</t>
  </si>
  <si>
    <t>Significant reduction in promoter stake</t>
  </si>
  <si>
    <t>Compute Promoter holding % (delta) then compare to threshold bands</t>
  </si>
  <si>
    <t>≤0% decline = 0 | &gt;0% to ≤5% decline = 10 | &gt;5% to ≤10% decline = 20 | &gt;10% to ≤20% decline = 30 | &gt;20% decline = 40</t>
  </si>
  <si>
    <t>EWS-024</t>
  </si>
  <si>
    <t>RPT value/share change %</t>
  </si>
  <si>
    <t>Related party transactions increase</t>
  </si>
  <si>
    <t>Large group-company transactions</t>
  </si>
  <si>
    <t>Compute RPT value/share change % then compare to threshold bands</t>
  </si>
  <si>
    <t>≤0% = 0 | &gt;0% to ≤10% = 10 | &gt;10% to ≤25% = 25 | &gt;25% = 40</t>
  </si>
  <si>
    <t>EWS-025</t>
  </si>
  <si>
    <t>Group-entity stress classification</t>
  </si>
  <si>
    <t>Group entity stress</t>
  </si>
  <si>
    <t>Group Risk</t>
  </si>
  <si>
    <t>Default, downgrade, insolvency, or stress in related/group company</t>
  </si>
  <si>
    <t>Classify event severity for 'Group entity stress' (no numeric calc)</t>
  </si>
  <si>
    <t>No group stress = 0  |  downgrade/legal event = 20  |  default/IBC in group = 40</t>
  </si>
  <si>
    <t>EWS-026</t>
  </si>
  <si>
    <t>Statutory overdues</t>
  </si>
  <si>
    <t>Tax or statutory dues delay</t>
  </si>
  <si>
    <t>Compliance</t>
  </si>
  <si>
    <t>Delay in GST, PF, TDS, income tax payment</t>
  </si>
  <si>
    <t>Compute Months of statutory dues overdue then compare to threshold bands</t>
  </si>
  <si>
    <t>On time = 0  |  1 month delayed = 10  |  2 months delayed = 20  |  3+ months = 35</t>
  </si>
  <si>
    <t>EWS-027</t>
  </si>
  <si>
    <t>Regulatory event severity</t>
  </si>
  <si>
    <t>Regulatory notices gone against company</t>
  </si>
  <si>
    <t>Tax notices, GST/Income tax/SEBI/RBI/NCLT actions</t>
  </si>
  <si>
    <t>External (Legal DB)</t>
  </si>
  <si>
    <t>Regulator/NCLT/IBC/RBI/GST/Income tax DB or paid aggregator</t>
  </si>
  <si>
    <t>Severity classification of regulatory events</t>
  </si>
  <si>
    <t>No notice = 0  |  regulatory notice = 15  |  multiple/material notice = 30  |  NCLT = 50</t>
  </si>
  <si>
    <t>EWS-028</t>
  </si>
  <si>
    <t>Increasing litigation exposure</t>
  </si>
  <si>
    <t>Trend in legal cases against the company</t>
  </si>
  <si>
    <t>Legal</t>
  </si>
  <si>
    <t>New cases, pending cases, case closures and materiality of cases</t>
  </si>
  <si>
    <t>Court/NCLT DB or paid aggregator</t>
  </si>
  <si>
    <t>Assess change in number and materiality of cases over time</t>
  </si>
  <si>
    <t>≤10% increase in cases, with no material case = 0 | &gt;10% to 25% increase in cases, with no material case = 15 | &gt;25% to 50% increase OR 1 material case = 30 | &gt;50% increase OR ≥2 material cases OR any critical case = 40</t>
  </si>
  <si>
    <t>EWS-029</t>
  </si>
  <si>
    <t>Business-model change classification</t>
  </si>
  <si>
    <t>Frequent change in business model</t>
  </si>
  <si>
    <t>Business Risk</t>
  </si>
  <si>
    <t>Sudden shift in product/customer/market</t>
  </si>
  <si>
    <t>Classify event severity for 'Frequent change in business model' (no numeric calc)</t>
  </si>
  <si>
    <t>No trigger = 0  |  mild deterioration = 10  |  material deterioration = 25  |  severe/confirmed red flag = 40</t>
  </si>
  <si>
    <t>EWS-030</t>
  </si>
  <si>
    <t>Borrower vs sector growth gap</t>
  </si>
  <si>
    <t>Declining market share</t>
  </si>
  <si>
    <t>Industry Risk</t>
  </si>
  <si>
    <t>Sales growth lower than industry peers</t>
  </si>
  <si>
    <t>Financial statement and Industry benchmark dataset</t>
  </si>
  <si>
    <t xml:space="preserve">Financial statement and Industry benchmark dataset </t>
  </si>
  <si>
    <t>Compute Borrower vs sector growth gap then compare to threshold bands</t>
  </si>
  <si>
    <t>≤0% = 0 | &gt;0% to ≤5% adverse gap = 10 | &gt;5% to ≤10% adverse gap = 25 | &gt;10% adverse gap = 40</t>
  </si>
  <si>
    <t>EWS-031</t>
  </si>
  <si>
    <t>News severity classification</t>
  </si>
  <si>
    <t>Negative news or media reports</t>
  </si>
  <si>
    <t>Reputational Risk</t>
  </si>
  <si>
    <t>Fraud allegations, raids, accidents, management disputes</t>
  </si>
  <si>
    <t>External (News/Media)</t>
  </si>
  <si>
    <t>News/media feeds and NLP-based relevance</t>
  </si>
  <si>
    <t>News severity classification (business/legal/fraud)</t>
  </si>
  <si>
    <t>No adverse news = 0  |  negative business news = 10  |  legal/regulatory news = 25  |  fraud/arrest = 50</t>
  </si>
  <si>
    <t>EWS-032</t>
  </si>
  <si>
    <t>Complaint severity classification</t>
  </si>
  <si>
    <t>Supplier/customer complaints</t>
  </si>
  <si>
    <t>Payment delays, quality issues, disputes</t>
  </si>
  <si>
    <t>Classify event severity for 'Supplier/customer complaints' (no numeric calc)</t>
  </si>
  <si>
    <t>No/minor complaint = 0 | Moderate complaint = 10 | Serious/repeated complaint = 25 | Critical/unresolved complaint = 40</t>
  </si>
  <si>
    <t>EWS-033</t>
  </si>
  <si>
    <t>Workforce disruption classification</t>
  </si>
  <si>
    <t>Unpaid salaries</t>
  </si>
  <si>
    <t>Operational Risk</t>
  </si>
  <si>
    <t>Delayed salary, strike, high attrition</t>
  </si>
  <si>
    <t>Manual</t>
  </si>
  <si>
    <t>RM / site-visit / inspection reports</t>
  </si>
  <si>
    <t>Classify event severity for 'Unpaid salaries or employee unrest' (no numeric calc)</t>
  </si>
  <si>
    <t>Normal operations = 0  |  minor disruption = 10  |  material disruption = 25  |  shutdown/strike = 40</t>
  </si>
  <si>
    <t>EWS-034</t>
  </si>
  <si>
    <t xml:space="preserve">Capacity utilization % </t>
  </si>
  <si>
    <t>Low capacity utilization</t>
  </si>
  <si>
    <t>Utilization below normal level</t>
  </si>
  <si>
    <t>Compute Capacity utilization % then compare to Capacity utilization as per Projection</t>
  </si>
  <si>
    <t>Utilization as per Projection = 0  | 0-5% less = 10  |  5-10% = 20  |  &gt;10% = 30</t>
  </si>
  <si>
    <t>EWS-035</t>
  </si>
  <si>
    <t>Adverse Site Visit Observation</t>
  </si>
  <si>
    <t>Severity of the most significant adverse finding identified during a physical/site inspection</t>
  </si>
  <si>
    <t>Site access denied; books/records unavailable; statutory/excise registers incomplete; physical stock materially lower than recorded stock; unrecorded/undeclared stock; idle machinery; substantially reduced operations; factory closed</t>
  </si>
  <si>
    <t>Classify the most severe verified adverse observation from the site visit. Apply the highest severity level where multiple observations exist. The classification should be based on the actual condition observed, supported by the site-visit report/evidence.</t>
  </si>
  <si>
    <t>No adverse observation = 0 | Adverse observation = 50</t>
  </si>
  <si>
    <t>EWS-036</t>
  </si>
  <si>
    <t>Round-tripping status (none/suspected/confirmed)</t>
  </si>
  <si>
    <t>Round-tripping transactions</t>
  </si>
  <si>
    <t>Fraud Risk</t>
  </si>
  <si>
    <t>Same funds moving between related accounts</t>
  </si>
  <si>
    <t>Classify event severity for 'Round-tripping transactions' (no numeric calc)</t>
  </si>
  <si>
    <t>None = 0  |  suspected = 25  |  confirmed/repeated (immediate review) = 50</t>
  </si>
  <si>
    <t>EWS-037</t>
  </si>
  <si>
    <t>ESG/environmental action classification</t>
  </si>
  <si>
    <t>ESG or environmental violation</t>
  </si>
  <si>
    <t>ESG Risk</t>
  </si>
  <si>
    <t>Pollution notice, factory closure order</t>
  </si>
  <si>
    <t>Classify event severity for 'ESG or environmental violation' (no numeric calc)</t>
  </si>
  <si>
    <t>No issue = 0  |  notice = 15  |  penalty/restriction = 30  |  closure order = 50</t>
  </si>
  <si>
    <t>EWS-038</t>
  </si>
  <si>
    <t>Carbon Emission</t>
  </si>
  <si>
    <t>Carbon / emission transition and compliance risk</t>
  </si>
  <si>
    <t>Emission intensity vs norms; breaches; carbon-tax / penalty exposure</t>
  </si>
  <si>
    <t>External (Regulatory / ESG)</t>
  </si>
  <si>
    <t>ESG disclosures &amp; regulator filings</t>
  </si>
  <si>
    <t>Annual / Event</t>
  </si>
  <si>
    <t>Classify carbon-emission / transition risk level</t>
  </si>
  <si>
    <t>Within norms/targets = 0 | Breach of emission norms = 15 | Penalty / carbon-tax / regulatory action = 40</t>
  </si>
  <si>
    <t>EWS-039</t>
  </si>
  <si>
    <t>Change in Depreciation method</t>
  </si>
  <si>
    <t>Change in depreciation method</t>
  </si>
  <si>
    <t>Any change in depreciation method/rates that alters reported profit</t>
  </si>
  <si>
    <t>Audited financials / notes to accounts</t>
  </si>
  <si>
    <t>Financial-statement notes review</t>
  </si>
  <si>
    <t>Detect change in depreciation method vs prior year</t>
  </si>
  <si>
    <t>No Change = 0 | Change Observed = 50</t>
  </si>
  <si>
    <t>EWS-040</t>
  </si>
  <si>
    <t>Change in Inventory valuation</t>
  </si>
  <si>
    <t>Change in inventory-valuation method</t>
  </si>
  <si>
    <t>Any change in inventory-valuation method that alters assets/margins</t>
  </si>
  <si>
    <t>Detect change in inventory-valuation method vs prior year</t>
  </si>
  <si>
    <t>EWS-041</t>
  </si>
  <si>
    <t>DSCR</t>
  </si>
  <si>
    <t>Debt Service Coverage Ratio</t>
  </si>
  <si>
    <t>Credit Risk</t>
  </si>
  <si>
    <t>DSCR = cash accruals / debt service</t>
  </si>
  <si>
    <t>Audited financials / spreading</t>
  </si>
  <si>
    <t>Financial spreading</t>
  </si>
  <si>
    <t>Quarterly / Annual</t>
  </si>
  <si>
    <t>DSCR = (PAT + Depreciation + Interest) / (Interest + Principal repayments)</t>
  </si>
  <si>
    <t xml:space="preserve"> 1.25–1.50 = 0 | &lt;1.25 = 40</t>
  </si>
  <si>
    <t>EWS-042</t>
  </si>
  <si>
    <t>Leverage Ratio</t>
  </si>
  <si>
    <t>Leverage (Total Outside Liabilities / Tangible Net Worth)</t>
  </si>
  <si>
    <t>TOL/TNW leverage</t>
  </si>
  <si>
    <t>TOL / TNW</t>
  </si>
  <si>
    <t>≤2.0 = 0 | 2.0–3.0 = 10 | &gt;3.0 = 40</t>
  </si>
  <si>
    <t>EWS-043</t>
  </si>
  <si>
    <t>Current Ratio</t>
  </si>
  <si>
    <t>Current Ratio (Current Assets / Current Liabilities)</t>
  </si>
  <si>
    <t>Current ratio</t>
  </si>
  <si>
    <t>Current Assets / Current Liabilities</t>
  </si>
  <si>
    <t>≥1.33 = 0 | 1–1.33 = 10 | &lt;1.00 = 40</t>
  </si>
  <si>
    <t>Functional Logic (per indicator)</t>
  </si>
  <si>
    <t>Input → Calculation/Classification → Threshold Evaluation → Raw Score → Normalised Score. Max Score links to the Master.</t>
  </si>
  <si>
    <t>Step 1 — Input (What to Track)</t>
  </si>
  <si>
    <t>Step 2 — Calculation / Classification</t>
  </si>
  <si>
    <t>Step 3 — Threshold Evaluation (bands)</t>
  </si>
  <si>
    <t>Step 4 — Raw Score rule</t>
  </si>
  <si>
    <t>Step 5 — Normalised Score</t>
  </si>
  <si>
    <t>Raw Score = score of the single band whose condition the borrower value satisfies; 0 if none is breached.</t>
  </si>
  <si>
    <t>Normalised = Raw ÷ Max Score × 100 (0–100). Fed into the Overall Score Engine.</t>
  </si>
  <si>
    <t>Threshold &amp; Scoring Engine — Machine-Readable Rules + Remedial Playbook</t>
  </si>
  <si>
    <t>One row per band. Rule Type/Lower/Upper/Operator are data-type driven; Normalised@Band &amp; Is-Max are live; key = UID|Raw.</t>
  </si>
  <si>
    <t>Metric / Input</t>
  </si>
  <si>
    <t>Band Order</t>
  </si>
  <si>
    <t>Condition (verbatim)</t>
  </si>
  <si>
    <t>Rule Type</t>
  </si>
  <si>
    <t>Lower Bound</t>
  </si>
  <si>
    <t>Upper Bound</t>
  </si>
  <si>
    <t>Operator</t>
  </si>
  <si>
    <t>Raw Score</t>
  </si>
  <si>
    <t>Normalised @ Band</t>
  </si>
  <si>
    <t>Is Max Band</t>
  </si>
  <si>
    <t>Critical Event Flag</t>
  </si>
  <si>
    <t>What it signals &amp; likely drivers</t>
  </si>
  <si>
    <t>Remedial action plan (step-by-step)</t>
  </si>
  <si>
    <t>Primary owner</t>
  </si>
  <si>
    <t>key (helper)</t>
  </si>
  <si>
    <t>&lt;85%</t>
  </si>
  <si>
    <t>Percent Threshold</t>
  </si>
  <si>
    <t>&lt; upper</t>
  </si>
  <si>
    <t>Normal — utilisation below 85%; comfortable headroom on working-capital limits.</t>
  </si>
  <si>
    <t>No remedial action required. Continue routine monitoring at the standard review cycle and record the reading.</t>
  </si>
  <si>
    <t>RM (routine)</t>
  </si>
  <si>
    <t>85-90%</t>
  </si>
  <si>
    <t>Percent Range</t>
  </si>
  <si>
    <t>≥ lower &amp; &lt; upper</t>
  </si>
  <si>
    <t>Early warning — utilisation 85–90%; mild tightening, usually genuine sales/WC growth or a seasonal build-up.</t>
  </si>
  <si>
    <t>1) RM to confirm the cause (seasonal vs structural). 2) Check stock/receivables statements support the drawings. 3) Flag for the next review.</t>
  </si>
  <si>
    <t>RM + Credit Analyst</t>
  </si>
  <si>
    <t>90-95%</t>
  </si>
  <si>
    <t>Elevated concern — utilisation 90–95% sustained; limits may be inadequate or the WC cycle is stretching (slow debtors/inventory).</t>
  </si>
  <si>
    <t>1) Reassess the WC assessment and drawing power on updated financials. 2) Verify no diversion via a turnover-routing check. 3) Move to monthly monitoring; consider a limit review.</t>
  </si>
  <si>
    <t>Credit Committee / Zonal Credit</t>
  </si>
  <si>
    <t>&gt;95% for 30+ days</t>
  </si>
  <si>
    <t>≥ lower (sustained 30+ days)</t>
  </si>
  <si>
    <t>Severe / critical — utilisation above 95% for 30+ days; chronic over-reliance — possible inability to rotate WC, or diversion/ever-greening.</t>
  </si>
  <si>
    <t>1) Restrict fresh drawals pending review. 2) Investigate diversion (routing gaps, ad-hoc pattern). 3) Full viability / limit-rationalisation review; escalate to Credit.</t>
  </si>
  <si>
    <t>Credit Head / Risk</t>
  </si>
  <si>
    <t>0-1 request/year</t>
  </si>
  <si>
    <t>Count Range</t>
  </si>
  <si>
    <t>≥ lower &amp; ≤ upper</t>
  </si>
  <si>
    <t>Normal — at most one ad-hoc request in the year; no pattern.</t>
  </si>
  <si>
    <t>2</t>
  </si>
  <si>
    <t>Count Exact</t>
  </si>
  <si>
    <t>exactly = value</t>
  </si>
  <si>
    <t>Early warning — two ad-hoc requests; occasional cash-flow mismatch.</t>
  </si>
  <si>
    <t>1) Ascertain the reason for each request. 2) Check whether permanent WC is under-assessed. 3) Grant only against a documented need.</t>
  </si>
  <si>
    <t>3+</t>
  </si>
  <si>
    <t>Count Threshold</t>
  </si>
  <si>
    <t>≥ lower</t>
  </si>
  <si>
    <t>Elevated concern — three or more ad-hoc requests; recurring liquidity gaps suggest a structural WC shortfall.</t>
  </si>
  <si>
    <t>1) Reassess permanent WC limits versus turnover. 2) Decline routine ad-hocs; require promoter funds for genuine gaps. 3) Tighten conduct review.</t>
  </si>
  <si>
    <t>emergency request</t>
  </si>
  <si>
    <t>Event flag</t>
  </si>
  <si>
    <t>category</t>
  </si>
  <si>
    <t>Severe / critical — an emergency / out-of-cycle request; acute liquidity stress.</t>
  </si>
  <si>
    <t>1) Treat as a stress trigger; obtain an immediate cash-flow statement. 2) Do not fund without security/comfort. 3) Escalate to Credit.</t>
  </si>
  <si>
    <t>Stable/Variation upto 5%</t>
  </si>
  <si>
    <t>Normal — operating-account credits stable or rising; sales routing intact.</t>
  </si>
  <si>
    <t>5-10% decline</t>
  </si>
  <si>
    <t>Early warning — credits down 10–20% vs baseline; early softening or partial routing to another bank.</t>
  </si>
  <si>
    <t>1) Reconcile account credits to GST/sales. 2) Ask the RM whether routing has shifted. 3) Note the trend for next review.</t>
  </si>
  <si>
    <t>Relationship Manager (Branch)</t>
  </si>
  <si>
    <t>10-15% decline</t>
  </si>
  <si>
    <t>Elevated concern — credits down 20–40%; material drop — genuine sales fall or turnover being diverted elsewhere.</t>
  </si>
  <si>
    <t>1) Stipulate proportionate turnover routing through the bank. 2) Verify sales via GST returns. 3) Monitor monthly credits vs sales.</t>
  </si>
  <si>
    <t>&gt;15% decline</t>
  </si>
  <si>
    <t>&gt; lower</t>
  </si>
  <si>
    <t>CRITICAL EVENT</t>
  </si>
  <si>
    <t>Severe / critical — credits down &gt;40%; severe — likely sales collapse or systematic diversion of turnover.</t>
  </si>
  <si>
    <t>1) Investigate diversion to other lenders; consider an escrow / TRA mechanism. 2) Commission an end-use/turnover audit. 3) Escalate to Credit; recall if diversion confirmed.</t>
  </si>
  <si>
    <t>Credit Head / Risk / Fraud</t>
  </si>
  <si>
    <t>0</t>
  </si>
  <si>
    <t>Normal — no conduct events in the window; clean account behaviour.</t>
  </si>
  <si>
    <t>1</t>
  </si>
  <si>
    <t>Early warning — one conduct event; isolated slip, likely a timing mismatch.</t>
  </si>
  <si>
    <t>1) Note the event and reason. 2) Caution the borrower informally. 3) Watch the next cycle.</t>
  </si>
  <si>
    <t>Elevated concern — two conduct events; a pattern is forming — recurring liquidity or discipline issue.</t>
  </si>
  <si>
    <t>1) Obtain a written explanation. 2) Enforce due-date discipline / standing instructions. 3) Place on the watch-list.</t>
  </si>
  <si>
    <t>3+ in 90 days</t>
  </si>
  <si>
    <t>Severe / critical — three or more events in 90 days; persistent irregularity signalling stress.</t>
  </si>
  <si>
    <t>1) Treat as incipient stress; SMA tagging as per days. 2) Obtain a corrective cash-flow plan. 3) Escalate to Credit; review provisioning.</t>
  </si>
  <si>
    <t>Own operating cash flow</t>
  </si>
  <si>
    <t>Ordinal Classification</t>
  </si>
  <si>
    <t>Normal — repayments from the borrower's own operating cash flows; healthy.</t>
  </si>
  <si>
    <t>group support</t>
  </si>
  <si>
    <t>Elevated concern — repayments supported by group funds; servicing not fully self-generated.</t>
  </si>
  <si>
    <t>1) Question reliance on group support; assess standalone viability. 2) Seek an undertaking on the arrangement. 3) Monitor.</t>
  </si>
  <si>
    <t>unrelated source</t>
  </si>
  <si>
    <t>High concern — repayments from an unrelated/third-party source; questionable sustainability.</t>
  </si>
  <si>
    <t>1) Investigate the third-party source and fund flow. 2) Reassess viability and repayment capacity. 3) Tighten; escalate to Credit.</t>
  </si>
  <si>
    <t>Credit + Risk</t>
  </si>
  <si>
    <t>repeated third-party payments</t>
  </si>
  <si>
    <t>Severe / critical — repeated third-party payments; classic ever-greening / round-tripping risk.</t>
  </si>
  <si>
    <t>1) Treat as suspected ever-greening; order a fund-flow/forensic review. 2) Freeze incremental exposure. 3) Escalate for corrective / exit action.</t>
  </si>
  <si>
    <t>0% variance</t>
  </si>
  <si>
    <t>≤ upper</t>
  </si>
  <si>
    <t>Normal — no variance between reported and audited stock; reliable reporting.</t>
  </si>
  <si>
    <t>upto 10%</t>
  </si>
  <si>
    <t>&gt; lower &amp; ≤ upper</t>
  </si>
  <si>
    <t>Early warning — up to 10% variance; minor reconciliation gap, likely timing or method.</t>
  </si>
  <si>
    <t>1) Reconcile the statement to audited figures. 2) Seek clarification on the small gap.</t>
  </si>
  <si>
    <t>upto 20%</t>
  </si>
  <si>
    <t>Elevated concern — 10–20% variance; material overstatement of DP securities emerging.</t>
  </si>
  <si>
    <t>1) Order a stock/receivables audit. 2) Recompute drawing power on verified stock. 3) Monitor.</t>
  </si>
  <si>
    <t>&gt;20%</t>
  </si>
  <si>
    <t>Severe / critical — &gt;20% variance; large overstatement — inflated drawing power / possible window-dressing.</t>
  </si>
  <si>
    <t>1) Commission an independent stock audit; correct the DP. 2) Reduce limits to the corrected DP. 3) Treat inflated DP as diversion risk; escalate to Credit.</t>
  </si>
  <si>
    <t>Normal — turnover stable or growing; demand intact.</t>
  </si>
  <si>
    <t>Early warning — turnover down 10–20%; early demand softening or a one-off.</t>
  </si>
  <si>
    <t>1) Reassess projections and the WC cycle. 2) RM engagement; management action note. 3) Monthly review.</t>
  </si>
  <si>
    <t>Elevated concern — turnover down 20–40%; a genuine downturn or loss of key customers.</t>
  </si>
  <si>
    <t>1) Reassess repayment capacity and viability with a sensitivity run. 2) Consider whether restructuring is needed. 3) Escalate to Credit.</t>
  </si>
  <si>
    <t>Severe / critical — turnover down &gt;40% or a loss; severe demand/operational deterioration.</t>
  </si>
  <si>
    <t>1) Full viability / TEV review. 2) Assess restructuring / rephasement. 3) Provisioning review; escalate to Credit Committee.</t>
  </si>
  <si>
    <t>Normal — EBITDA margin stable; profitability intact.</t>
  </si>
  <si>
    <t>Early warning — margin fell 10–20%; cost inflation or pricing pressure beginning.</t>
  </si>
  <si>
    <t>1) Analyse cost vs price drivers. 2) Reassess DSCR on updated numbers. 3) Monitor.</t>
  </si>
  <si>
    <t>Elevated concern — margin fell 20–40%; material erosion of debt-servicing ability.</t>
  </si>
  <si>
    <t>1) Reassess repayment capacity and viability. 2) Enhanced monitoring. 3) Escalate to Credit.</t>
  </si>
  <si>
    <t>≥ lower (or loss)</t>
  </si>
  <si>
    <t>Severe / critical — margin fell &gt;40% or turned to a loss; severe profitability collapse.</t>
  </si>
  <si>
    <t>1) Full viability review; assess restructuring. 2) Provisioning review. 3) Escalate to Credit Committee.</t>
  </si>
  <si>
    <t>Within normal</t>
  </si>
  <si>
    <t>Delta Days Threshold</t>
  </si>
  <si>
    <t>Normal — debtor days within norm; receivables turning normally.</t>
  </si>
  <si>
    <t>upto 10 days</t>
  </si>
  <si>
    <t>Early warning — debtor days +15–30; early slowdown — collection lag or slow-moving receivables.</t>
  </si>
  <si>
    <t>1) Review the debtor ageing. 2) Identify overdue/slow items. 3) Monitor.</t>
  </si>
  <si>
    <t>10-20 days</t>
  </si>
  <si>
    <t>Delta Days Range</t>
  </si>
  <si>
    <t>Elevated concern — debtor days +30–60; material tie-up of working capital in receivables.</t>
  </si>
  <si>
    <t>1) Order a receivables audit. 2) Exclude &gt;90-day receivables from DP. 3) Monitor monthly.</t>
  </si>
  <si>
    <t xml:space="preserve">&gt;20 days </t>
  </si>
  <si>
    <t>Severe / critical — debtor days +60; severe — aged/blocked receivables, possible overstatement or non-moving stock.</t>
  </si>
  <si>
    <t>1) Independent receivables audit; recompute DP. 2) Assess related-party / fictitious build-up. 3) Escalate to Credit; forensic if diversion suspected.</t>
  </si>
  <si>
    <t>Within norm</t>
  </si>
  <si>
    <t>Normal — inventory days within norm; stock turning normally.</t>
  </si>
  <si>
    <t>+15-30 days</t>
  </si>
  <si>
    <t>Early warning — inventory days +15–30; early slowdown — collection lag or slow-moving stock.</t>
  </si>
  <si>
    <t>1) Review the inventory ageing. 2) Identify overdue/slow items. 3) Monitor.</t>
  </si>
  <si>
    <t>+30-60 days</t>
  </si>
  <si>
    <t>Elevated concern — inventory days +30–60; material tie-up of working capital in stock.</t>
  </si>
  <si>
    <t>1) Order a stock audit. 2) Exclude &gt;90-day stock from DP. 3) Monitor monthly.</t>
  </si>
  <si>
    <t>+60 days</t>
  </si>
  <si>
    <t>Severe / critical — inventory days +60; severe — aged/blocked stock, possible overstatement or non-moving stock.</t>
  </si>
  <si>
    <t>1) Independent stock audit; recompute DP. 2) Assess related-party / fictitious build-up. 3) Escalate to Credit; forensic if diversion suspected.</t>
  </si>
  <si>
    <t>Normal — creditor days within norm; supplier terms stable.</t>
  </si>
  <si>
    <t>Early warning — creditor days +15–30; stretching payables — mild liquidity tightening or negotiated terms.</t>
  </si>
  <si>
    <t>1) Review payables ageing and reason. 2) Check for supply-side disputes. 3) Monitor.</t>
  </si>
  <si>
    <t>Elevated concern — creditor days +30–60; material stretch — supplier pressure / liquidity strain.</t>
  </si>
  <si>
    <t>1) Assess liquidity behind the stretch. 2) Engage the borrower on supplier position. 3) Reassess WC cycle; monitor monthly.</t>
  </si>
  <si>
    <t>Severe / critical — creditor days +60; severe — suppliers unpaid, risk of supply disruption.</t>
  </si>
  <si>
    <t>1) Reassess viability and supply continuity. 2) Corrective cash-flow plan. 3) Escalate to Credit.</t>
  </si>
  <si>
    <t xml:space="preserve">≤ 10% increase 
 </t>
  </si>
  <si>
    <t>Normal — provisions/write-offs increased ≤10%; within the normal range.</t>
  </si>
  <si>
    <t xml:space="preserve">&gt;10% to 25% increase </t>
  </si>
  <si>
    <t>Elevated concern — provisions up &gt;10–25%; early rise in credit costs / doubtful items.</t>
  </si>
  <si>
    <t>1) Analyse what is being provided for. 2) Reassess recoverability. 3) Monitor.</t>
  </si>
  <si>
    <t xml:space="preserve">&gt;25% to 50% increase </t>
  </si>
  <si>
    <t>High concern — provisions up &gt;25–50%; material deterioration in asset quality.</t>
  </si>
  <si>
    <t>1) Reassess viability given the losses. 2) Enhanced monitoring. 3) Escalate to Credit.</t>
  </si>
  <si>
    <t>&gt;50% increase</t>
  </si>
  <si>
    <t>Severe / critical — provisions up &gt;50%; severe — large recognised losses/write-offs.</t>
  </si>
  <si>
    <t>1) Full reassessment; likely restructuring/recovery track. 2) Provisioning review. 3) Escalate to Credit Committee.</t>
  </si>
  <si>
    <t>&lt;5%</t>
  </si>
  <si>
    <t>Normal — actuals within 5% of CMA projections; performing to plan.</t>
  </si>
  <si>
    <t>5-10%</t>
  </si>
  <si>
    <t>Early warning — 5–15% variance; mild under-performance vs projections.</t>
  </si>
  <si>
    <t>1) Analyse the variance. 2) Revisit assumptions with the RM. 3) Monitor.</t>
  </si>
  <si>
    <t>10-15%</t>
  </si>
  <si>
    <t>Elevated concern — 15–30% variance; material deviation — projections likely optimistic or performance slipping.</t>
  </si>
  <si>
    <t>1) Reassess limits/viability on realistic numbers. 2) Enhanced monitoring. 3) Escalate to Credit.</t>
  </si>
  <si>
    <t>&gt;15%</t>
  </si>
  <si>
    <t>Severe / critical — &gt;30% variance; severe deviation from the sanctioned plan.</t>
  </si>
  <si>
    <t>1) Full reassessment on actuals. 2) Corrective plan. 3) Escalate to Credit Committee.</t>
  </si>
  <si>
    <t xml:space="preserve">≤ 10% increase </t>
  </si>
  <si>
    <t>Normal — unsecured/related-party borrowings up ≤10%; not material.</t>
  </si>
  <si>
    <t>Early warning — up &gt;10–25%; some reliance on unsecured funds — check purpose.</t>
  </si>
  <si>
    <t>1) Assess whether these are quasi-equity or a diversion. 2) Seek subordination/NDU. 3) Monitor.</t>
  </si>
  <si>
    <t>&gt;25% to 50% increase</t>
  </si>
  <si>
    <t>High concern — up &gt;25–50%; material rise — hidden leverage or quasi-equity substituting for capital.</t>
  </si>
  <si>
    <t>1) Stipulate subordination of unsecured loans; reassess leverage. 2) Tighten terms. 3) Escalate to Credit.</t>
  </si>
  <si>
    <t>Severe / critical — up &gt;50%; severe — heavy high-cost/unsecured borrowing indicating funding stress or diversion.</t>
  </si>
  <si>
    <t>[CRITICAL] 1) Treat as a material adverse change; forensic review of fund flow. 2) Immediate escalation to Credit Committee. 3) Corrective / possible recall.  NOTE: CRITICAL indicator — worst band fires the Critical Override; final status escalates to Critical regardless of the average.</t>
  </si>
  <si>
    <t>Credit Head / Risk (immediate)</t>
  </si>
  <si>
    <t>Stable</t>
  </si>
  <si>
    <t>Normal — finance cost growing in line with sales; leverage stable.</t>
  </si>
  <si>
    <t>deterioration 10-20%</t>
  </si>
  <si>
    <t>Early warning — finance cost outpacing sales by 10–20%; early over-leverage.</t>
  </si>
  <si>
    <t>1) Analyse debt build-up vs sales. 2) Reassess DSCR. 3) Monitor.</t>
  </si>
  <si>
    <t>20-40%</t>
  </si>
  <si>
    <t>Elevated concern — outpacing by 20–40%; material — debt/interest rising faster than the business can carry.</t>
  </si>
  <si>
    <t>1) Reassess leverage and repayment capacity. 2) Enhanced monitoring. 3) Escalate to Credit.</t>
  </si>
  <si>
    <t>&gt;40% or negative net worth</t>
  </si>
  <si>
    <t>≥ lower (or negative net worth)</t>
  </si>
  <si>
    <t>Severe / critical — &gt;40% gap or negative net worth; severe over-leverage / capital erosion.</t>
  </si>
  <si>
    <t>1) Full viability review; capital/net-worth check. 2) Restructuring assessment. 3) Escalate to Credit Committee.</t>
  </si>
  <si>
    <t>No event</t>
  </si>
  <si>
    <t>Normal — no LC devolvement; trade obligations honoured.</t>
  </si>
  <si>
    <t>one event</t>
  </si>
  <si>
    <t>Early warning — one minor devolvement; isolated timing issue.</t>
  </si>
  <si>
    <t>1) Ascertain the reason; regularise promptly. 2) Review LC limits and margin. 3) Monitor.</t>
  </si>
  <si>
    <t>repeated events</t>
  </si>
  <si>
    <t>Severe / critical — repeated devolvement/invocation; the borrower cannot honour trade commitments — clear liquidity distress.</t>
  </si>
  <si>
    <t>1) Treat as stress; reduce non-fund exposure, seek cash margin. 2) Reassess WC. 3) Escalate to Credit; provisioning review.</t>
  </si>
  <si>
    <t>category (analyst-selected)</t>
  </si>
  <si>
    <t>Normal — no BG invocation; guarantees performing.</t>
  </si>
  <si>
    <t>Early warning — a single BG invocation; the borrower failed to honour one guarantee obligation.</t>
  </si>
  <si>
    <t>1) Ascertain the reason and regularise; assess the underlying contract risk. 2) Tighten margin/monitoring. 3) Monitor.</t>
  </si>
  <si>
    <t>Severe / critical — repeated BG invocations; recurring failure to honour guarantees, a serious performance/financial default.</t>
  </si>
  <si>
    <t>1) Treat crystallised liabilities as stress; reduce non-fund exposure and seek cash margin. 2) Reassess WC and viability. 3) Escalate to Credit; provisioning review.</t>
  </si>
  <si>
    <t>No change</t>
  </si>
  <si>
    <t>Normal — no rating change; credit profile stable.</t>
  </si>
  <si>
    <t>one-notch downgrade</t>
  </si>
  <si>
    <t>Elevated concern — one-notch downgrade; mild deterioration perceived by the agency.</t>
  </si>
  <si>
    <t>1) Obtain the rating rationale. 2) Reassess pricing/covenants. 3) Enhanced monitoring.</t>
  </si>
  <si>
    <t>multi-notch/watchlist</t>
  </si>
  <si>
    <t>Elevated concern — multi-notch downgrade or watchlist; material weakening of the credit profile.</t>
  </si>
  <si>
    <t>1) Reassess exposure and security. 2) Consider a limit review. 3) Escalate to Credit.</t>
  </si>
  <si>
    <t>below investment grade</t>
  </si>
  <si>
    <t>Severe / critical — downgraded below investment grade; severe — market view of default risk.</t>
  </si>
  <si>
    <t>1) Full review; corrective / exit plan. 2) Reprice/secure as feasible. 3) Escalate to Credit Committee.</t>
  </si>
  <si>
    <t>No change/irregularity</t>
  </si>
  <si>
    <t>Normal — no change in financial year/auditor; reporting stable.</t>
  </si>
  <si>
    <t>Change in FY</t>
  </si>
  <si>
    <t>Early warning — a single change with no adverse observation; likely benign.</t>
  </si>
  <si>
    <t>1) Confirm the reason is benign. 2) Ensure comparability of periods. 3) Monitor.</t>
  </si>
  <si>
    <t>Frequent/repeated change in FY</t>
  </si>
  <si>
    <t>Elevated concern — frequent/repeated changes; possible window-dressing or reporting manipulation.</t>
  </si>
  <si>
    <t>1) Scrutinise for window-dressing; adjust the analysis. 2) Independent review of financials. 3) Escalate to Credit.</t>
  </si>
  <si>
    <t>Change in FY accompanied by going-concern/adverse opinion or significant reporting concern</t>
  </si>
  <si>
    <t>Severe / critical — a change accompanied by a going-concern/adverse note; serious reporting-reliability red flag.</t>
  </si>
  <si>
    <t>1) Treat as a material adverse change; forensic review. 2) Reassess exposure. 3) Escalate to Credit Committee.</t>
  </si>
  <si>
    <t>No issue</t>
  </si>
  <si>
    <t>Normal — clean audit, no issue; reliable reporting.</t>
  </si>
  <si>
    <t>delayed/minor qualification</t>
  </si>
  <si>
    <t>Early warning — delayed audit or a minor qualification; low-level concern.</t>
  </si>
  <si>
    <t>1) Read the qualification; assess materiality. 2) Seek clarification. 3) Monitor.</t>
  </si>
  <si>
    <t>material qualification/change</t>
  </si>
  <si>
    <t>Elevated concern — material qualification or an auditor change; reporting reliability in question.</t>
  </si>
  <si>
    <t>1) Adjust the analysis for the qualification. 2) Independent/special review. 3) Escalate to Credit.</t>
  </si>
  <si>
    <t>going concern/adverse</t>
  </si>
  <si>
    <t>Severe / critical — going-concern or adverse opinion; severe — doubt over the entity's viability.</t>
  </si>
  <si>
    <t>1) Treat as a material adverse change; forensic review. 2) Reassess exposure and security. 3) Escalate to Credit Committee.</t>
  </si>
  <si>
    <t>No adverse change</t>
  </si>
  <si>
    <t>Normal — no adverse management change; continuity intact.</t>
  </si>
  <si>
    <t>moderate change</t>
  </si>
  <si>
    <t>Early warning — a moderate change; manageable with succession in place.</t>
  </si>
  <si>
    <t>1) Assess succession and impact. 2) Seek stability comfort. 3) Monitor.</t>
  </si>
  <si>
    <t>sudden key exit</t>
  </si>
  <si>
    <t>Elevated concern — a sudden exit of a key person/promoter; continuity and governance risk.</t>
  </si>
  <si>
    <t>1) Reassess management risk and viability. 2) Tighten covenants. 3) Escalate to Credit.</t>
  </si>
  <si>
    <t>control issue</t>
  </si>
  <si>
    <t>Severe / critical — a control issue (dispute/loss of control); severe governance red flag.</t>
  </si>
  <si>
    <t>1) Treat as a material adverse change. 2) Reassess exposure. 3) Escalate to Credit Committee.</t>
  </si>
  <si>
    <t>≤0%</t>
  </si>
  <si>
    <t>Normal — no promoter pledge; promoter capital unencumbered.</t>
  </si>
  <si>
    <t>&gt;0% to ≤5%</t>
  </si>
  <si>
    <t>Early warning — &gt;0–5% pledged; minimal, typically routine.</t>
  </si>
  <si>
    <t>1) Obtain pledge details and purpose. 2) Monitor the trend.</t>
  </si>
  <si>
    <t>&gt;5% to ≤10%</t>
  </si>
  <si>
    <t>Elevated concern — &gt;5–10% pledged; rising promoter leverage — monitor.</t>
  </si>
  <si>
    <t>1) Assess promoter leverage; seek an NDU/comfort. 2) Monitor market price. 3) Note for review.</t>
  </si>
  <si>
    <t>&gt;10% to ≤20%</t>
  </si>
  <si>
    <t>High concern — &gt;10–20% pledged; material — promoter financial stress / loss-of-control risk building.</t>
  </si>
  <si>
    <t>1) Reassess promoter support; tighten terms. 2) Seek additional comfort/security. 3) Escalate to Credit.</t>
  </si>
  <si>
    <t>Severe / critical — &gt;20% pledged; high — significant promoter distress, risk of forced sale/control change.</t>
  </si>
  <si>
    <t>1) Treat as a material adverse change. 2) Reassess exposure and control risk. 3) Escalate to Credit Committee.</t>
  </si>
  <si>
    <t>Normal — no decline in promoter holding; skin-in-the-game intact.</t>
  </si>
  <si>
    <t>Early warning — holding down &gt;0–5%; marginal dilution, usually benign.</t>
  </si>
  <si>
    <t>1) Obtain the reason for the reduction. 2) Monitor.</t>
  </si>
  <si>
    <t>Elevated concern — down &gt;5–10%; noticeable reduction — check intent.</t>
  </si>
  <si>
    <t>1) Assess promoter commitment; seek comfort. 2) Monitor developments. 3) Note for review.</t>
  </si>
  <si>
    <t>High concern — down &gt;10–20%; material dilution — weakening promoter commitment.</t>
  </si>
  <si>
    <t>1) Reassess promoter support and control. 2) Tighten terms. 3) Escalate to Credit.</t>
  </si>
  <si>
    <t>Severe / critical — down &gt;20%; severe — possible promoter exit / loss of control.</t>
  </si>
  <si>
    <t>1) Treat as a material adverse change; reassess exposure. 2) Seek comfort/security. 3) Escalate to Credit Committee.</t>
  </si>
  <si>
    <t>Normal — no rise in related-party transactions; arm's-length maintained.</t>
  </si>
  <si>
    <t>&gt;0% to ≤10%</t>
  </si>
  <si>
    <t>Early warning — RPT up &gt;0–10%; modest — verify arm's-length basis.</t>
  </si>
  <si>
    <t>1) Obtain RPT details; verify arm's-length. 2) Monitor.</t>
  </si>
  <si>
    <t>&gt;10% to ≤25%</t>
  </si>
  <si>
    <t>Elevated concern — up &gt;10–25%; material rise — possible fund routing to related parties.</t>
  </si>
  <si>
    <t>1) Scrutinise for diversion; seek disclosures. 2) Special review. 3) Escalate to Credit.</t>
  </si>
  <si>
    <t>&gt;25%</t>
  </si>
  <si>
    <t>Severe / critical — up &gt;25%; severe — significant RPT exposure / siphoning risk.</t>
  </si>
  <si>
    <t>1) Forensic audit of RPTs and fund flow. 2) Freeze incremental exposure. 3) Escalate to Credit Committee.</t>
  </si>
  <si>
    <t>No group stress</t>
  </si>
  <si>
    <t>Normal — no group stress; group profile stable.</t>
  </si>
  <si>
    <t>downgrade/legal event</t>
  </si>
  <si>
    <t>Elevated concern — a downgrade or legal event in the group; contagion risk emerging.</t>
  </si>
  <si>
    <t>1) Map group exposure and linkages. 2) Ring-fence cash flows; seek an NDU. 3) Escalate to Credit.</t>
  </si>
  <si>
    <t>default/IBC in group</t>
  </si>
  <si>
    <t>Severe / critical — default/IBC in a group entity; severe — direct contagion and cross-default risk.</t>
  </si>
  <si>
    <t>1) Treat as a material adverse change; reassess consolidated risk. 2) Enforce ring-fencing/escrow. 3) Escalate to Credit Committee.</t>
  </si>
  <si>
    <t>On time</t>
  </si>
  <si>
    <t>Normal — statutory dues paid on time; no first-charge arrears.</t>
  </si>
  <si>
    <t>1 month delayed</t>
  </si>
  <si>
    <t>Early warning — one month delayed; early liquidity pinch on statutory payments.</t>
  </si>
  <si>
    <t>1) Obtain challans; seek immediate clearance. 2) Assess the cash-flow reason. 3) Monitor.</t>
  </si>
  <si>
    <t>2 months delayed</t>
  </si>
  <si>
    <t>Elevated concern — two months delayed; deepening liquidity stress — statutory dues (first charge) accumulating.</t>
  </si>
  <si>
    <t>1) Stipulate a clearance timeline; verify no charge/attachment on assets. 2) Investigate the liquidity stress. 3) Escalate to Credit.</t>
  </si>
  <si>
    <t>3+ months</t>
  </si>
  <si>
    <t>Severe / critical — 3+ months overdue; severe — large statutory arrears ranking ahead of the bank, attachment risk.</t>
  </si>
  <si>
    <t>[CRITICAL]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t>
  </si>
  <si>
    <t>No notice</t>
  </si>
  <si>
    <t>Normal — no regulatory notice; clean compliance record.</t>
  </si>
  <si>
    <t>regulatory notice</t>
  </si>
  <si>
    <t>Early warning — a regulatory notice received; early compliance concern.</t>
  </si>
  <si>
    <t>1) Obtain notice details; assess materiality. 2) Legal opinion if needed. 3) Monitor.</t>
  </si>
  <si>
    <t>multiple/material notice</t>
  </si>
  <si>
    <t>Elevated concern — multiple/material notices; escalating regulatory exposure.</t>
  </si>
  <si>
    <t>1) Reassess exposure and security; provision if material. 2) Protect the bank's charge. 3) Escalate to Credit/Legal.</t>
  </si>
  <si>
    <t>NCLT</t>
  </si>
  <si>
    <t>Severe / critical — NCLT/insolvency proceedings; severe — a default/recovery event.</t>
  </si>
  <si>
    <t>1) Verify NCLT status; file/protect the claim. 2) Participate in the CoC; full provisioning. 3) Escalate to Credit Committee / Recovery.</t>
  </si>
  <si>
    <t>Credit Head / Legal / Recovery</t>
  </si>
  <si>
    <t xml:space="preserve">≤10% increase in cases, with no material case </t>
  </si>
  <si>
    <t>Hybrid (numeric + event)</t>
  </si>
  <si>
    <t>≤ upper % case increase, no material case</t>
  </si>
  <si>
    <t>Normal — litigation stable/decreasing with no material case; low legal risk.</t>
  </si>
  <si>
    <t>&gt;10% to 25% increase in cases, with no material case</t>
  </si>
  <si>
    <t>&gt; lower &amp; ≤ upper % increase, no material case</t>
  </si>
  <si>
    <t>Elevated concern — case count up &gt;10–25% with no material case; rising but immaterial litigation.</t>
  </si>
  <si>
    <t>1) Review the nature of new cases. 2) Legal opinion on aggregate exposure. 3) Monitor.</t>
  </si>
  <si>
    <t xml:space="preserve">&gt;25% to 50% increase OR 1 material case </t>
  </si>
  <si>
    <t>&gt; lower &amp; ≤ upper % increase, OR 1 material case</t>
  </si>
  <si>
    <t>High concern — cases up &gt;25–50% or one material case; material legal exposure emerging.</t>
  </si>
  <si>
    <t>1) Quantify the material case's exposure; provision if needed. 2) Protect the bank's position. 3) Escalate to Credit/Legal.</t>
  </si>
  <si>
    <t>Credit + Legal</t>
  </si>
  <si>
    <t>&gt;50% increase OR ≥2 material cases OR any critical case</t>
  </si>
  <si>
    <t>&gt; lower % increase, OR ≥2 material cases</t>
  </si>
  <si>
    <t>Severe / critical — cases up &gt;50% or ≥2 material cases; severe — significant contingent liability / recovery drag.</t>
  </si>
  <si>
    <t>1) Assess total litigation drag on cash flow/security. 2) Corrective / recovery posture. 3) Escalate to Credit Committee / Legal.</t>
  </si>
  <si>
    <t>No trigger</t>
  </si>
  <si>
    <t>Normal — no change in business model; risk profile stable.</t>
  </si>
  <si>
    <t>mild deterioration</t>
  </si>
  <si>
    <t>Early warning — mild changes; monitor for drift in the risk profile.</t>
  </si>
  <si>
    <t>1) Understand the change and rationale. 2) Assess risk-profile impact. 3) Monitor.</t>
  </si>
  <si>
    <t>material deterioration</t>
  </si>
  <si>
    <t>Elevated concern — material change in the business/activity; altered risk profile.</t>
  </si>
  <si>
    <t>1) Reassess viability/limits against the new model. 2) Revisit sanction terms/security. 3) Escalate to Credit.</t>
  </si>
  <si>
    <t>severe/confirmed red flag</t>
  </si>
  <si>
    <t>Severe / critical — a severe/confirmed pivot; the entity's risk basis has fundamentally changed.</t>
  </si>
  <si>
    <t>1) Treat as a material adverse change; re-underwrite. 2) Reassess exposure. 3) Escalate to Credit Committee.</t>
  </si>
  <si>
    <t>Normal — borrower growing in line with or ahead of its sector; no adverse gap.</t>
  </si>
  <si>
    <t>&gt;0 to ≤5% adverse gap</t>
  </si>
  <si>
    <t>Early warning — adverse gap &gt;0–5%; mild underperformance vs peers.</t>
  </si>
  <si>
    <t>1) Analyse the gap vs peers. 2) Obtain the reason. 3) Monitor.</t>
  </si>
  <si>
    <t>&gt;5% to ≤10% adverse gap</t>
  </si>
  <si>
    <t>Elevated concern — adverse gap &gt;5–10%; material company-specific weakness relative to the sector.</t>
  </si>
  <si>
    <t>1) Reassess competitiveness and repayment capacity. 2) Enhanced monitoring. 3) Escalate to Credit.</t>
  </si>
  <si>
    <t>&gt;10% adverse gap</t>
  </si>
  <si>
    <t>Severe / critical — adverse gap &gt;10%; severe — the borrower is materially lagging a stable/growing sector.</t>
  </si>
  <si>
    <t>1) Viability review given the company-specific weakness. 2) Corrective plan. 3) Escalate to Credit Committee.</t>
  </si>
  <si>
    <t>No adverse news</t>
  </si>
  <si>
    <t>Normal — no adverse news; reputation intact.</t>
  </si>
  <si>
    <t>negative business news</t>
  </si>
  <si>
    <t>Early warning — negative business news; early reputational/operational signal.</t>
  </si>
  <si>
    <t>1) Verify the news and assess impact. 2) Corroborate with the borrower. 3) Monitor.</t>
  </si>
  <si>
    <t>legal/regulatory news</t>
  </si>
  <si>
    <t>Elevated concern — legal/regulatory news; material adverse coverage.</t>
  </si>
  <si>
    <t>1) Reassess exposure if confirmed; protect position. 2) Legal view. 3) Escalate to Credit.</t>
  </si>
  <si>
    <t>fraud/arrest</t>
  </si>
  <si>
    <t>Severe / critical — fraud/arrest-level news; severe — serious integrity/viability concern.</t>
  </si>
  <si>
    <t>1) Treat as a material adverse event; freeze incremental exposure. 2) Investigate/forensic. 3) Escalate to Credit Committee.</t>
  </si>
  <si>
    <t>No/minor complaint</t>
  </si>
  <si>
    <t>Normal — no/minor complaints; normal counterparty relations.</t>
  </si>
  <si>
    <t>Moderate complaint</t>
  </si>
  <si>
    <t>Early warning — a moderate complaint; isolated dissatisfaction.</t>
  </si>
  <si>
    <t>1) Assess nature and credibility. 2) Seek the borrower's response. 3) Monitor.</t>
  </si>
  <si>
    <t>Serious/repeated complaint</t>
  </si>
  <si>
    <t>Elevated concern — serious/repeated complaints; a pattern indicating operational or governance issues.</t>
  </si>
  <si>
    <t>1) Investigate and corroborate; involve Risk. 2) Tighten monitoring. 3) Escalate to Credit.</t>
  </si>
  <si>
    <t>Critical/unresolved complaint</t>
  </si>
  <si>
    <t>Severe / critical — a critical/unresolved complaint; severe — potential fraud/regulatory/counterparty breakdown.</t>
  </si>
  <si>
    <t>[CRITICAL] 1) Serious complaint — forensic investigation via Risk/Fraud. 2) Freeze incremental exposure. 3) Corrective / legal action; escalate immediately.  NOTE: CRITICAL indicator — serious complaint; worst band fires the Critical Override → final status escalates to Critical.</t>
  </si>
  <si>
    <t>Normal operations</t>
  </si>
  <si>
    <t>Normal — normal operations; no workforce disruption.</t>
  </si>
  <si>
    <t>minor disruption</t>
  </si>
  <si>
    <t>Early warning — minor disruption; short-lived, limited impact.</t>
  </si>
  <si>
    <t>1) Ascertain nature/duration. 2) Assess operational impact. 3) Monitor.</t>
  </si>
  <si>
    <t>material disruption</t>
  </si>
  <si>
    <t>Elevated concern — material disruption; production/cash-flow impact building.</t>
  </si>
  <si>
    <t>1) Assess cash-flow/production impact; engage the borrower. 2) Reassess if prolonged. 3) Escalate to Credit.</t>
  </si>
  <si>
    <t>shutdown/strike</t>
  </si>
  <si>
    <t>Severe / critical — shutdown/strike; severe — operations halted, direct revenue impact.</t>
  </si>
  <si>
    <t>1) Treat as a viability threat; contingency review. 2) Protect security. 3) Escalate to Credit Committee.</t>
  </si>
  <si>
    <t>Utilization as per Projection</t>
  </si>
  <si>
    <t>Normal — capacity utilisation above 90%; strong operating throughput.</t>
  </si>
  <si>
    <t>0-5%</t>
  </si>
  <si>
    <t>Early warning — utilisation 85–90%; slight easing of throughput.</t>
  </si>
  <si>
    <t>1) Note the dip; confirm the cause. 2) Watch next cycle.</t>
  </si>
  <si>
    <t>Elevated concern — utilisation 75–85%; material under-utilisation — weak demand or operational issues.</t>
  </si>
  <si>
    <t>1) Reassess demand and projections. 2) Enhanced monitoring. 3) Escalate to Credit.</t>
  </si>
  <si>
    <t>&gt;10%</t>
  </si>
  <si>
    <t>Severe / critical — utilisation below 75%; severe — significant idle capacity, revenue/viability risk.</t>
  </si>
  <si>
    <t>1) Viability review given idle capacity. 2) Corrective/restructuring assessment. 3) Escalate to Credit Committee.</t>
  </si>
  <si>
    <t>No adverse observation</t>
  </si>
  <si>
    <t>Normal — site visit satisfactory; unit operating normally.</t>
  </si>
  <si>
    <t>Adverse observation</t>
  </si>
  <si>
    <t>Severe / critical — an adverse site-visit observation (e.g. idle/closed unit, stock discrepancy or asset issue); potential stress or misrepresentation.</t>
  </si>
  <si>
    <t>1) Order a stock/unit audit on the observation; verify security. 2) Tighten drawals; corrective plan. 3) Escalate to Credit; forensic review if the discrepancy is material.</t>
  </si>
  <si>
    <t>None</t>
  </si>
  <si>
    <t>Normal — no round-tripping indicators; clean fund flow.</t>
  </si>
  <si>
    <t>suspected</t>
  </si>
  <si>
    <t>Elevated concern — suspected round-tripping; circular transactions warranting investigation.</t>
  </si>
  <si>
    <t>1) Review the fund flow; seek an explanation. 2) End-use verification. 3) Escalate to Credit/Risk.</t>
  </si>
  <si>
    <t>confirmed/repeated (immediate review)</t>
  </si>
  <si>
    <t>Severe / critical — confirmed/repeated round-tripping; severe — diversion/fraud requiring immediate review.</t>
  </si>
  <si>
    <t>1) Confirmed diversion — order a forensic audit. 2) Freeze exposure; protect security. 3) Corrective / recovery / legal action; escalate immediately.</t>
  </si>
  <si>
    <t>Normal — no ESG/environmental issue; compliant operations.</t>
  </si>
  <si>
    <t>notice</t>
  </si>
  <si>
    <t>Early warning — a notice received; early environmental/regulatory concern.</t>
  </si>
  <si>
    <t>1) Obtain notice details; assess impact. 2) Seek a remediation timeline. 3) Monitor.</t>
  </si>
  <si>
    <t>penalty/restriction</t>
  </si>
  <si>
    <t>Elevated concern — a penalty/restriction; material operational and compliance impact.</t>
  </si>
  <si>
    <t>1) Reassess operational continuity and exposure. 2) Protect security. 3) Escalate to Credit/Legal.</t>
  </si>
  <si>
    <t>closure order</t>
  </si>
  <si>
    <t>Severe / critical — a closure order; severe — operations at risk of being halted.</t>
  </si>
  <si>
    <t>1) Treat as a viability/legal threat; continuity review. 2) Protect the bank's position. 3) Escalate to Credit Committee / Legal.</t>
  </si>
  <si>
    <t>Within norms/targets</t>
  </si>
  <si>
    <t>Normal — carbon/emission within norms; no transition-risk concern.</t>
  </si>
  <si>
    <t>Breach of emission norms</t>
  </si>
  <si>
    <t>Elevated concern — breach of emission norms; material regulatory and cost exposure.</t>
  </si>
  <si>
    <t>1) Assess the compliance gap and remediation cost. 2) Reassess viability under carbon cost. 3) Flag to Credit.</t>
  </si>
  <si>
    <t>Penalty / carbon-tax / regulatory action</t>
  </si>
  <si>
    <t>Severe / critical — penalty / carbon-tax / regulatory action; severe ESG and cash-flow impact.</t>
  </si>
  <si>
    <t>1) Quantify penalty/carbon-tax and continuity impact. 2) Protect the bank's position; reassess exposure. 3) Escalate to Credit / Legal.</t>
  </si>
  <si>
    <t>Credit / Legal</t>
  </si>
  <si>
    <t>No Change</t>
  </si>
  <si>
    <t>Normal — no change in depreciation method; reporting consistent.</t>
  </si>
  <si>
    <t>Change Observed</t>
  </si>
  <si>
    <t>Severe / critical — can flatter reported profit or mask deterioration; a reporting-quality red flag.</t>
  </si>
  <si>
    <t>1) Read the notes to accounts; quantify the P&amp;L impact of the change. 2) Restate the analysis to a like-for-like basis. 3) Assess intent (genuine vs profit-smoothing); flag to Credit / Audit review.</t>
  </si>
  <si>
    <t>Credit + Audit review</t>
  </si>
  <si>
    <t>Normal — no change in inventory-valuation method; reporting consistent.</t>
  </si>
  <si>
    <t>Severe / critical — can inflate assets/margins or conceal slow-moving stock; a reporting-quality red flag.</t>
  </si>
  <si>
    <t>1) Read the notes; quantify the impact on inventory value and margins. 2) Restate to a like-for-like basis. 3) Assess intent; order a stock/valuation review; flag to Credit / Audit.</t>
  </si>
  <si>
    <t>1.25–1.50</t>
  </si>
  <si>
    <t>Ratio Range</t>
  </si>
  <si>
    <t>Normal — DSCR in the acceptable range (≥1.25); debt-service coverage adequate.</t>
  </si>
  <si>
    <t>&lt;1.25</t>
  </si>
  <si>
    <t>Ratio Threshold</t>
  </si>
  <si>
    <t>Severe / critical — DSCR below 1.25; thin-to-inadequate coverage, cash accruals may not comfortably cover debt service.</t>
  </si>
  <si>
    <t>1) Reassess repayment capacity, refinancing risk and viability. 2) Corrective / restructuring assessment. 3) Escalate to Credit.</t>
  </si>
  <si>
    <t>≤2.0</t>
  </si>
  <si>
    <t>Normal — leverage (TOL/TNW) ≤2.0; conservative capital structure.</t>
  </si>
  <si>
    <t>2.0–3.0</t>
  </si>
  <si>
    <t>Early warning — leverage 2.0–3.0; moderate, rising reliance on outside liabilities.</t>
  </si>
  <si>
    <t>1) Note the leverage trend vs sanction assumptions. 2) Review debt build-up. 3) Monitor.</t>
  </si>
  <si>
    <t>&gt;3.0</t>
  </si>
  <si>
    <t>Severe / critical — leverage above 3.0; high/severe, thin net worth relative to debt and over-leverage risk.</t>
  </si>
  <si>
    <t>1) Reassess leverage and net-worth adequacy; seek promoter infusion. 2) Corrective / viability review. 3) Escalate to Credit.</t>
  </si>
  <si>
    <t>≥1.33</t>
  </si>
  <si>
    <t>Normal — current ratio ≥1.33; comfortable liquidity.</t>
  </si>
  <si>
    <t>1–1.33</t>
  </si>
  <si>
    <t>Early warning — current ratio 1.00–1.33; adequate but easing liquidity buffer.</t>
  </si>
  <si>
    <t>1) Review the working-capital position and NWC adequacy. 2) Watch next statement.</t>
  </si>
  <si>
    <t>&lt;1.00</t>
  </si>
  <si>
    <t>Severe / critical — current ratio below 1.00; current liabilities exceed current assets, liquidity stress.</t>
  </si>
  <si>
    <t>1) Reassess limits and liquidity; corrective plan. 2) Monitor closely. 3) Escalate to Credit.</t>
  </si>
  <si>
    <t>Overall Score Engine (Live Calculator)</t>
  </si>
  <si>
    <t>Yellow cells are inputs. Overall = average of normalised scores of applicable indicators with valid data. Critical Override fires on (a) any Critical indicator at its trigger OR (b) any Critical Combination pair co-occurring (block below).</t>
  </si>
  <si>
    <t>Borrower Name</t>
  </si>
  <si>
    <t>Acme Textiles Pvt Ltd</t>
  </si>
  <si>
    <t>Assessment Date</t>
  </si>
  <si>
    <t>31-Aug-2026</t>
  </si>
  <si>
    <t>Total Indicators</t>
  </si>
  <si>
    <t>Applicable Indicators</t>
  </si>
  <si>
    <t>Indicators relevant to this borrower (N/A excluded).</t>
  </si>
  <si>
    <t>Scored (valid data)</t>
  </si>
  <si>
    <t>Applicable AND data available AND a raw score entered.</t>
  </si>
  <si>
    <t>Missing Data (applicable)</t>
  </si>
  <si>
    <t>Applicable but no data — EXCLUDED from the average (not treated as zero).</t>
  </si>
  <si>
    <t>Not Applicable (N/A)</t>
  </si>
  <si>
    <t>Data Coverage %</t>
  </si>
  <si>
    <t>Reported separately; does NOT affect the Overall Score.</t>
  </si>
  <si>
    <t>Sum of Normalised (scored)</t>
  </si>
  <si>
    <t>Overall EWS Score</t>
  </si>
  <si>
    <t>Average of normalised scores of applicable indicators with valid data.</t>
  </si>
  <si>
    <t>Numeric Risk Band</t>
  </si>
  <si>
    <t>Band implied by the Overall Score alone (before critical override).</t>
  </si>
  <si>
    <t>Critical Override Triggered?</t>
  </si>
  <si>
    <t>YES if any CRITICAL indicator reaches the override trigger ('6. Risk Bands (Config)'!$B$6).</t>
  </si>
  <si>
    <t>Critical Indicators Fired</t>
  </si>
  <si>
    <t>FINAL STATUS</t>
  </si>
  <si>
    <t>Final Interpretation</t>
  </si>
  <si>
    <t>Traceability: FINAL STATUS ← Overall Score / Critical Override ← per-indicator Normalised ← Raw Score ← borrower Observed Value ← applicable threshold band.</t>
  </si>
  <si>
    <t>Critical</t>
  </si>
  <si>
    <t>Applicable (Y/N)</t>
  </si>
  <si>
    <t>Data Available (Y/N)</t>
  </si>
  <si>
    <t>Observed Value / Note</t>
  </si>
  <si>
    <t>Scored Flag</t>
  </si>
  <si>
    <t>Normalised Score</t>
  </si>
  <si>
    <t>Critical Fire</t>
  </si>
  <si>
    <t>Crit Fire UID (helper)</t>
  </si>
  <si>
    <t>Y</t>
  </si>
  <si>
    <t>CC utilisation &gt;95% sustained for 30+ days  →  band '&gt;95% for 30+ days'</t>
  </si>
  <si>
    <t>Matches band: 2  →  band '2'</t>
  </si>
  <si>
    <t>Operating-account credits down ~28% vs baseline  →  band '20-40% decline'</t>
  </si>
  <si>
    <t>Matches band: 1  →  band '1'</t>
  </si>
  <si>
    <t>Matches band: Own operating cash flow  →  band 'Own operating cash flow'</t>
  </si>
  <si>
    <t>Matches band: upto 10%  →  band 'upto 10%'</t>
  </si>
  <si>
    <t>Sales turnover down ~30% YoY  →  band '20-40% decline'</t>
  </si>
  <si>
    <t>Matches band: margin fall 10-20%  →  band 'margin fall 10-20%'</t>
  </si>
  <si>
    <t>Observed breach (combination demo)</t>
  </si>
  <si>
    <t>Matches band: +15-30 days  →  band '+15-30 days'</t>
  </si>
  <si>
    <t>Matches band: 5-15%  →  band '5-15%'</t>
  </si>
  <si>
    <t>Moderate rise in unsecured/promoter loans  →  band 'moderate increase'</t>
  </si>
  <si>
    <t>Matches band: Stable  →  band 'Stable'</t>
  </si>
  <si>
    <t>N</t>
  </si>
  <si>
    <t>Not applicable to this borrower</t>
  </si>
  <si>
    <t>Applicable but data not available (excluded, not zero)</t>
  </si>
  <si>
    <t>Matches band: No significant change/irregularity  →  band 'No significant change/irregularity'</t>
  </si>
  <si>
    <t>Matches band: No issue  →  band 'No issue'</t>
  </si>
  <si>
    <t>Matches band: No adverse change  →  band 'No adverse change'</t>
  </si>
  <si>
    <t>Matches band: No group stress  →  band 'No group stress'</t>
  </si>
  <si>
    <t>GST/PF/TDS dues overdue 3+ months  →  band '3+ months'</t>
  </si>
  <si>
    <t>One civil/regulatory notice on record  →  band 'regulatory notice'</t>
  </si>
  <si>
    <t>Matches band: Moderate increase  →  band 'Moderate increase'</t>
  </si>
  <si>
    <t>Matches band: No trigger  →  band 'No trigger'</t>
  </si>
  <si>
    <t>Matches band: No adverse news  →  band 'No adverse news'</t>
  </si>
  <si>
    <t>Matches band: No/minor complaint  →  band 'No/minor complaint'</t>
  </si>
  <si>
    <t>Matches band: Normal operations  →  band 'Normal operations'</t>
  </si>
  <si>
    <t>Matches band: 85-90%  →  band '85-90%'</t>
  </si>
  <si>
    <t>Site visit satisfactory; no adverse observation</t>
  </si>
  <si>
    <t>Matches band: None  →  band 'None'</t>
  </si>
  <si>
    <t>Observed reading (remapped to new bands)</t>
  </si>
  <si>
    <t>Observed reading</t>
  </si>
  <si>
    <t>Additional risk controls</t>
  </si>
  <si>
    <t>Previous Overall Score (last review)</t>
  </si>
  <si>
    <t>Optional input for band-transition alerts.</t>
  </si>
  <si>
    <t>Score movement vs last review</t>
  </si>
  <si>
    <t>Positive = deterioration.</t>
  </si>
  <si>
    <t>Data Sufficiency / Confidence</t>
  </si>
  <si>
    <t>Compares Data Coverage % to the floor.</t>
  </si>
  <si>
    <t>Critical Combination Rules (co-occurrence → immediate Critical)</t>
  </si>
  <si>
    <t>Rule</t>
  </si>
  <si>
    <t>Indicator A</t>
  </si>
  <si>
    <t>Indicator B</t>
  </si>
  <si>
    <t>A flagged?</t>
  </si>
  <si>
    <t>B flagged?</t>
  </si>
  <si>
    <t>Combination fires?</t>
  </si>
  <si>
    <t>Pair 1: Payment defaults + stretched creditors</t>
  </si>
  <si>
    <t>Pair 2: Non-core repayment source + rising unsecured loans</t>
  </si>
  <si>
    <t>Pair 3: Stretched debtors + rising provisions</t>
  </si>
  <si>
    <t>Combination Critical Triggered?</t>
  </si>
  <si>
    <t>If YES, the Critical Override fires and FINAL STATUS = Critical immediately, regardless of the average.</t>
  </si>
  <si>
    <t>Combination pairs fired</t>
  </si>
  <si>
    <t>Borrower Example — End-to-End Worked Trace</t>
  </si>
  <si>
    <t>Hypothetical borrower. Live links to the Overall Score Engine. Demonstrates the Critical Combination rule firing.</t>
  </si>
  <si>
    <t>Profile: Acme Textiles Pvt Ltd — unlisted MSME under stress. Co-occurring signals form Critical Combination pairs (payment defaults + stretched creditors; stretched debtors + rising provisions), and statutory dues are overdue. Numerically the average is only "Yellow", but the co-occurring pairs (and the statutory-overdue critical) escalate the borrower to CRITICAL.</t>
  </si>
  <si>
    <t>Overall Score</t>
  </si>
  <si>
    <t>Critical Override?</t>
  </si>
  <si>
    <t>Critical Fired</t>
  </si>
  <si>
    <t>Critical Combination trace — the co-occurring pairs (live from the engine):</t>
  </si>
  <si>
    <t>Pair</t>
  </si>
  <si>
    <t>Notes</t>
  </si>
  <si>
    <t>Both flagged → Critical Combination fires → override</t>
  </si>
  <si>
    <t>Result: the Overall Score is only ~Yellow, but Critical Combination pair(s) co-occur, so the Critical Override fires and FINAL STATUS = CRITICAL — a combination of individually-sub-critical signals is treated as critical. (This borrower also breaches an individual critical, Statutory overdues; either path alone forces CRITICAL.)</t>
  </si>
  <si>
    <t>Risk Bands &amp; Scoring Configuration</t>
  </si>
  <si>
    <t>PROPOSED — not present in the source file. All values below are editable; every other sheet reads from here.</t>
  </si>
  <si>
    <t>Parameter</t>
  </si>
  <si>
    <t>Value</t>
  </si>
  <si>
    <t>Normalisation Base</t>
  </si>
  <si>
    <t>Normalised Score = Raw Score ÷ Maximum Score × Base</t>
  </si>
  <si>
    <t>Critical Override Trigger (Normalised ≥)</t>
  </si>
  <si>
    <t>A CRITICAL-flagged indicator whose normalised score reaches this value forces FINAL STATUS = Critical, regardless of the average.</t>
  </si>
  <si>
    <t>Risk Band</t>
  </si>
  <si>
    <t>Score From</t>
  </si>
  <si>
    <t>Score To</t>
  </si>
  <si>
    <t>Lower Bound (lookup)</t>
  </si>
  <si>
    <t>Interpretation</t>
  </si>
  <si>
    <t>Recommended Supervisory Posture</t>
  </si>
  <si>
    <t>Green</t>
  </si>
  <si>
    <t>Normal / Low Concern</t>
  </si>
  <si>
    <t>Business-as-usual monitoring at standard frequency.</t>
  </si>
  <si>
    <t>Yellow</t>
  </si>
  <si>
    <t>Early Deterioration / Monitor</t>
  </si>
  <si>
    <t>Flag account; note trend; review at next monitoring cycle.</t>
  </si>
  <si>
    <t>Amber</t>
  </si>
  <si>
    <t>Elevated Concern / Enhanced Monitoring</t>
  </si>
  <si>
    <t>Enhanced monitoring; RM commentary; tighten review frequency.</t>
  </si>
  <si>
    <t>Red</t>
  </si>
  <si>
    <t>High Concern / Immediate Review</t>
  </si>
  <si>
    <t>Escalate to credit committee; borrower engagement; corrective plan.</t>
  </si>
  <si>
    <t>Severe EWS / Immediate Intervention</t>
  </si>
  <si>
    <t>Immediate intervention; classify/restructure/recovery as warranted.</t>
  </si>
  <si>
    <t>Additional parameters &amp; conventions</t>
  </si>
  <si>
    <t>Minimum Data Coverage % (confidence floor)</t>
  </si>
  <si>
    <t>If Data Coverage % is below this, the Overall Score is labelled INSUFFICIENT DATA / low-confidence rather than a benign band.</t>
  </si>
  <si>
    <t>Boundary convention</t>
  </si>
  <si>
    <t>Each band's exact inclusivity is given by its Operator in the Scoring Engine (Rules) sheet. Bands written as 'A–B' use ≥ lower &amp; &lt; upper unless the Operator states otherwise (e.g. '&gt; lower &amp; ≤ upper' for '&gt;A to ≤B' bands). The worst band extends to the metric's limit. Example: a value of exactly 20% falls in the band whose Operator includes 20 at that edge.</t>
  </si>
  <si>
    <t>Max-score rationale</t>
  </si>
  <si>
    <t>The Overall Score normalises every indicator to 0–100, so all indicators are weighted EQUALLY regardless of their raw Max Score; differing max scores (25–50) only set within-indicator granularity. Indicator / category weighting is a proposed future enhancement.</t>
  </si>
  <si>
    <t>Combination Trigger (both indicators Normalised score ≥ 20)</t>
  </si>
  <si>
    <t>A pair fires when BOTH indicators are scored and breached at or above this normalised level (default 1 = both above their Normal band). When any pair fires, the Critical Override triggers immediately.</t>
  </si>
  <si>
    <t>Meaning</t>
  </si>
  <si>
    <t>Pair 1</t>
  </si>
  <si>
    <t>Payment defaults + stretched creditors</t>
  </si>
  <si>
    <t>Pair 2</t>
  </si>
  <si>
    <t>Non-core repayment source + rising unsecured loans</t>
  </si>
  <si>
    <t>Pair 3</t>
  </si>
  <si>
    <t>Stretched debtors + rising provisions</t>
  </si>
  <si>
    <t>ALERT LIFECYCLE</t>
  </si>
  <si>
    <t>When the system creates an alert, how it is prioritised, and how duplicates/repeats are handled. Bands, severities and the override follow this file’s Scoring Engine and Risk Bands (Config). Distinguishes signal vs alert.</t>
  </si>
  <si>
    <t>A. Alert generation rules</t>
  </si>
  <si>
    <t>Alert ID</t>
  </si>
  <si>
    <t>Trigger</t>
  </si>
  <si>
    <t>Condition</t>
  </si>
  <si>
    <t>Severity</t>
  </si>
  <si>
    <t>Priority</t>
  </si>
  <si>
    <t>Recipient</t>
  </si>
  <si>
    <t>Notification</t>
  </si>
  <si>
    <t>Action SLA</t>
  </si>
  <si>
    <t>Escalation</t>
  </si>
  <si>
    <t>Duplicate Suppression</t>
  </si>
  <si>
    <t>Status</t>
  </si>
  <si>
    <t>ALERT-001</t>
  </si>
  <si>
    <t>No breach</t>
  </si>
  <si>
    <t>All applicable indicators in the '0' (Normal) band</t>
  </si>
  <si>
    <t>—</t>
  </si>
  <si>
    <t>No alert</t>
  </si>
  <si>
    <t>ALERT-002</t>
  </si>
  <si>
    <t>Indicator breach (single, immaterial)</t>
  </si>
  <si>
    <t>One indicator in a low non-zero band, not persistent</t>
  </si>
  <si>
    <t>Low</t>
  </si>
  <si>
    <t>P4</t>
  </si>
  <si>
    <t>RM</t>
  </si>
  <si>
    <t>Dashboard only</t>
  </si>
  <si>
    <t>TBD</t>
  </si>
  <si>
    <t>On repeat → P3</t>
  </si>
  <si>
    <t>Collapse into one open signal per indicator</t>
  </si>
  <si>
    <t>Signal</t>
  </si>
  <si>
    <t>ALERT-003</t>
  </si>
  <si>
    <t>Material / repeated indicator breach</t>
  </si>
  <si>
    <t>Indicator reaches its material band or repeats over lookback</t>
  </si>
  <si>
    <t>Medium</t>
  </si>
  <si>
    <t>P3</t>
  </si>
  <si>
    <t>Dashboard + email</t>
  </si>
  <si>
    <t>Persist → Credit</t>
  </si>
  <si>
    <t>Suppress if same indicator already open &amp; unchanged</t>
  </si>
  <si>
    <t>Alert</t>
  </si>
  <si>
    <t>ALERT-004</t>
  </si>
  <si>
    <t>Overall score → Yellow (20-39)</t>
  </si>
  <si>
    <t>Overall Score in Yellow band (point-in-time); transition-based if a Previous Overall Score is recorded on the Overall Score Engine</t>
  </si>
  <si>
    <t>No action in SLA → escalate</t>
  </si>
  <si>
    <t>One alert per band transition</t>
  </si>
  <si>
    <t>Yellow Alert</t>
  </si>
  <si>
    <t>ALERT-005</t>
  </si>
  <si>
    <t>Overall score → Amber (40-59)</t>
  </si>
  <si>
    <t>Overall Score in Amber band (point-in-time); transition if previous score recorded</t>
  </si>
  <si>
    <t>Medium-High</t>
  </si>
  <si>
    <t>P2</t>
  </si>
  <si>
    <t>RM + Credit</t>
  </si>
  <si>
    <t>→ Credit review</t>
  </si>
  <si>
    <t>One per transition; re-fire on worsening</t>
  </si>
  <si>
    <t>Amber Alert</t>
  </si>
  <si>
    <t>ALERT-006</t>
  </si>
  <si>
    <t>Overall score → Red (60-79)</t>
  </si>
  <si>
    <t>Overall Score in Red band (point-in-time); transition if previous score recorded</t>
  </si>
  <si>
    <t>High</t>
  </si>
  <si>
    <t>Credit Committee</t>
  </si>
  <si>
    <t>Dashboard + email + workflow</t>
  </si>
  <si>
    <t>→ Senior credit</t>
  </si>
  <si>
    <t>Red Alert</t>
  </si>
  <si>
    <t>ALERT-007</t>
  </si>
  <si>
    <t>Overall score → Critical (80-100)</t>
  </si>
  <si>
    <t>Overall Score in Critical band (point-in-time); transition if previous score recorded</t>
  </si>
  <si>
    <t>P1</t>
  </si>
  <si>
    <t>Credit Head + Senior</t>
  </si>
  <si>
    <t>Email + workflow</t>
  </si>
  <si>
    <t>Immediate</t>
  </si>
  <si>
    <t>→ Senior credit / committee</t>
  </si>
  <si>
    <t>Critical Alert</t>
  </si>
  <si>
    <t>ALERT-008</t>
  </si>
  <si>
    <t>Critical override TRUE</t>
  </si>
  <si>
    <t>Any CRITICAL-flagged indicator (EWS-014, EWS-027, EWS-034) hits the override trigger — Overall Score Engine → Critical Override</t>
  </si>
  <si>
    <t>Credit Head + Senior + Risk head</t>
  </si>
  <si>
    <t>Immediate senior review</t>
  </si>
  <si>
    <t>Never suppressed (always surfaced)</t>
  </si>
  <si>
    <t>Immediate Critical Alert</t>
  </si>
  <si>
    <t>B. RM / Credit Action Logic (by risk band)</t>
  </si>
  <si>
    <t>Responsible Role</t>
  </si>
  <si>
    <t>Required Action</t>
  </si>
  <si>
    <t>Timeline / SLA</t>
  </si>
  <si>
    <t>Required Documents</t>
  </si>
  <si>
    <t>Decision</t>
  </si>
  <si>
    <t>Closure Criteria</t>
  </si>
  <si>
    <t>Green / Normal</t>
  </si>
  <si>
    <t>Score 0-19, no override</t>
  </si>
  <si>
    <t>Standard monitoring; no special action.</t>
  </si>
  <si>
    <t>BAU cycle</t>
  </si>
  <si>
    <t>None extra</t>
  </si>
  <si>
    <t>Continue monitoring</t>
  </si>
  <si>
    <t>N/A</t>
  </si>
  <si>
    <t>Yellow / Monitor</t>
  </si>
  <si>
    <t>Score 20-39</t>
  </si>
  <si>
    <t>Log trend; RM commentary; review borrower conduct at next cycle.</t>
  </si>
  <si>
    <t>Next cycle (TBD)</t>
  </si>
  <si>
    <t>Account statement review; RM remarks</t>
  </si>
  <si>
    <t>RM notes cause &amp; plan</t>
  </si>
  <si>
    <t>If unresolved → Credit</t>
  </si>
  <si>
    <t>Signals return to '0' bands / remarks accepted</t>
  </si>
  <si>
    <t>Amber / Watchlist</t>
  </si>
  <si>
    <t>Score 40-59</t>
  </si>
  <si>
    <t>Enhanced monitoring; request updated financials; borrower discussion.</t>
  </si>
  <si>
    <t>2-4 weeks (TBD)</t>
  </si>
  <si>
    <t>Updated financials; account review</t>
  </si>
  <si>
    <t>RM + Credit note cause &amp; plan</t>
  </si>
  <si>
    <t>If unresolved → Credit Committee</t>
  </si>
  <si>
    <t>Condition improves to a lower band &amp; remarks accepted</t>
  </si>
  <si>
    <t>Red / High</t>
  </si>
  <si>
    <t>Score 60-79</t>
  </si>
  <si>
    <t>Credit review; obtain updated financials, stock statement, repayment plan; exposure review.</t>
  </si>
  <si>
    <t>1-2 weeks (TBD)</t>
  </si>
  <si>
    <t>Updated financials; stock statement; repayment plan</t>
  </si>
  <si>
    <t>Credit decides monitoring / exit</t>
  </si>
  <si>
    <t>If worsening → Senior credit</t>
  </si>
  <si>
    <t>Condition cleared &amp; Credit sign-off</t>
  </si>
  <si>
    <t>Red / Critical</t>
  </si>
  <si>
    <t>Score 80-100 OR critical override</t>
  </si>
  <si>
    <t>Senior Credit / Committee</t>
  </si>
  <si>
    <t>Senior credit review; exposure review; possible freeze / recovery / restructuring depending on trigger.</t>
  </si>
  <si>
    <t>Full credit note; legal / recovery inputs</t>
  </si>
  <si>
    <t>Committee decision</t>
  </si>
  <si>
    <t>Recovery / legal / restructuring path</t>
  </si>
  <si>
    <t>Formal resolution per policy</t>
  </si>
  <si>
    <t>C. Lifecycle states</t>
  </si>
  <si>
    <t>State</t>
  </si>
  <si>
    <t>Entry condition</t>
  </si>
  <si>
    <t>Owner</t>
  </si>
  <si>
    <t>Allowed next states</t>
  </si>
  <si>
    <t>Backward move?</t>
  </si>
  <si>
    <t>Generated</t>
  </si>
  <si>
    <t>Alert generated in section A</t>
  </si>
  <si>
    <t>System</t>
  </si>
  <si>
    <t>Assigned</t>
  </si>
  <si>
    <t>Routed to RM / Credit</t>
  </si>
  <si>
    <t>Under Review</t>
  </si>
  <si>
    <t>Owner investigating</t>
  </si>
  <si>
    <t>RM / Credit</t>
  </si>
  <si>
    <t>Action Required / Resolved</t>
  </si>
  <si>
    <t>Action Required</t>
  </si>
  <si>
    <t>Borrower action / docs needed</t>
  </si>
  <si>
    <t>Escalated / Resolved</t>
  </si>
  <si>
    <t>Escalated</t>
  </si>
  <si>
    <t>SLA breach or severity up</t>
  </si>
  <si>
    <t>Credit / Senior</t>
  </si>
  <si>
    <t>Resolved / Action Required</t>
  </si>
  <si>
    <t>Yes (to Action Required)</t>
  </si>
  <si>
    <t>Resolved</t>
  </si>
  <si>
    <t>Condition cleared, pending closure check</t>
  </si>
  <si>
    <t>Credit</t>
  </si>
  <si>
    <t>Closed / Reopened</t>
  </si>
  <si>
    <t>Closed</t>
  </si>
  <si>
    <t>Closure criteria met (see section E)</t>
  </si>
  <si>
    <t>Reopened</t>
  </si>
  <si>
    <t>Yes (Reopened)</t>
  </si>
  <si>
    <t>Condition recurs / premature closure</t>
  </si>
  <si>
    <t>Critical Combination rule: certain indicator pairs escalate to CRITICAL when they co-occur, even if neither is individually critical — EWS-004+EWS-011 (payment defaults + stretched creditors), EWS-005+EWS-014 (non-core repayment + rising unsecured loans), EWS-009+EWS-012 (stretched debtors + rising provisions). A fired pair triggers the Critical Override immediately (see Overall Score Engine → Critical Combination Rules).</t>
  </si>
  <si>
    <t>Final Recommendation / Action &amp; AI-Suggested Path</t>
  </si>
  <si>
    <t>How the Final Status maps to action, and how the tool ranks the drivers behind the score to suggest a remediation path.</t>
  </si>
  <si>
    <t>A.  Action Matrix by Final Status</t>
  </si>
  <si>
    <t>Final Status</t>
  </si>
  <si>
    <t>What it means</t>
  </si>
  <si>
    <t>Recommended Action</t>
  </si>
  <si>
    <t>Timeline</t>
  </si>
  <si>
    <t>Normal / low concern</t>
  </si>
  <si>
    <t>Standard monitoring; no action beyond routine review.</t>
  </si>
  <si>
    <t>Routine cycle</t>
  </si>
  <si>
    <t>Early deterioration</t>
  </si>
  <si>
    <t>Log trend; RM commentary; watch next cycle.</t>
  </si>
  <si>
    <t>Next cycle</t>
  </si>
  <si>
    <t>Elevated concern</t>
  </si>
  <si>
    <t>Enhanced monitoring; request updated financials; tighten review frequency.</t>
  </si>
  <si>
    <t>2–4 weeks</t>
  </si>
  <si>
    <t>High concern</t>
  </si>
  <si>
    <t>Escalate to credit committee; borrower engagement; corrective action plan.</t>
  </si>
  <si>
    <t>1–2 weeks</t>
  </si>
  <si>
    <t>Severe EWS</t>
  </si>
  <si>
    <t>Immediate intervention; site visit; classify / restructure / initiate recovery as warranted.</t>
  </si>
  <si>
    <t>CRITICAL (Override)</t>
  </si>
  <si>
    <t>A critical event is present regardless of average</t>
  </si>
  <si>
    <t>Treat as Critical immediately; investigate the specific critical indicator(s) first; do not wait for the average to catch up.</t>
  </si>
  <si>
    <t>B.  How the AI suggests the recommended path</t>
  </si>
  <si>
    <t>1.  Take all applicable indicators that have valid data (the same set used for the Overall Score).</t>
  </si>
  <si>
    <t>2.  Rank them by Normalised Score (highest first); any CRITICAL-flagged indicator at its worst band is pulled to the top automatically.</t>
  </si>
  <si>
    <t>3.  Read the top contributors as the "drivers" of the score, and group them by Category (e.g., Account Conduct, Financial Performance, Compliance).</t>
  </si>
  <si>
    <t>4.  For each driver, pull the band-specific remark, remedial plan and owner from the Scoring Engine (Rules) sheet (matched on UID + Normalised).</t>
  </si>
  <si>
    <t>5.  Because every driver traces back to UID → Raw Score → threshold band → borrower input, each recommendation is fully auditable.</t>
  </si>
  <si>
    <t>C.  Top score drivers for the Borrower Example (remarks/actions pulled live from the Rules sheet by UID + Normalised)</t>
  </si>
  <si>
    <t>Rank</t>
  </si>
  <si>
    <t>Normalised</t>
  </si>
  <si>
    <t>raw (helper)</t>
  </si>
  <si>
    <t>Link with 4th indicator - combination</t>
  </si>
  <si>
    <t>Link with 9th</t>
  </si>
  <si>
    <t>Link with 5th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</si>
</sst>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7" x14ac:knownFonts="1">
    <font>
      <sz val="11"/>
      <color theme="1"/>
      <name val="Calibri"/>
      <family val="2"/>
      <charset val="1"/>
    </font>
    <font>
      <b/>
      <sz val="15"/>
      <color rgb="FFFFFFFF"/>
      <name val="Calibri"/>
      <family val="2"/>
    </font>
    <font>
      <i/>
      <sz val="9"/>
      <color rgb="FFFFFFFF"/>
      <name val="Calibri"/>
      <family val="2"/>
    </font>
    <font>
      <b/>
      <sz val="12"/>
      <color rgb="FFC00000"/>
      <name val="Calibri"/>
      <family val="2"/>
    </font>
    <font>
      <sz val="10"/>
      <color rgb="FF000000"/>
      <name val="Calibri"/>
      <family val="2"/>
    </font>
    <font>
      <b/>
      <sz val="12"/>
      <color rgb="FF1F3864"/>
      <name val="Calibri"/>
      <family val="2"/>
    </font>
    <font>
      <b/>
      <sz val="9"/>
      <color rgb="FFFFFFFF"/>
      <name val="Calibri"/>
      <family val="2"/>
    </font>
    <font>
      <sz val="9"/>
      <color rgb="FF000000"/>
      <name val="Calibri"/>
      <family val="2"/>
    </font>
    <font>
      <b/>
      <sz val="9"/>
      <color rgb="FF000000"/>
      <name val="Calibri"/>
      <family val="2"/>
    </font>
    <font>
      <b/>
      <sz val="9"/>
      <color rgb="FFC00000"/>
      <name val="Calibri"/>
      <family val="2"/>
    </font>
    <font>
      <sz val="8"/>
      <color rgb="FF808080"/>
      <name val="Calibri"/>
      <family val="2"/>
    </font>
    <font>
      <b/>
      <sz val="10"/>
      <color rgb="FF000000"/>
      <name val="Calibri"/>
      <family val="2"/>
    </font>
    <font>
      <b/>
      <sz val="11"/>
      <color rgb="FF0000FF"/>
      <name val="Calibri"/>
      <family val="2"/>
    </font>
    <font>
      <b/>
      <sz val="11"/>
      <color rgb="FF000000"/>
      <name val="Calibri"/>
      <family val="2"/>
    </font>
    <font>
      <i/>
      <sz val="9"/>
      <color rgb="FF000000"/>
      <name val="Calibri"/>
      <family val="2"/>
    </font>
    <font>
      <b/>
      <sz val="11"/>
      <color rgb="FFC00000"/>
      <name val="Calibri"/>
      <family val="2"/>
    </font>
    <font>
      <b/>
      <sz val="12"/>
      <color rgb="FFFFFFFF"/>
      <name val="Calibri"/>
      <family val="2"/>
    </font>
    <font>
      <i/>
      <sz val="9"/>
      <color rgb="FF7F7F7F"/>
      <name val="Calibri"/>
      <family val="2"/>
    </font>
    <font>
      <sz val="9"/>
      <color rgb="FF0000FF"/>
      <name val="Calibri"/>
      <family val="2"/>
    </font>
    <font>
      <sz val="9"/>
      <color rgb="FFC00000"/>
      <name val="Calibri"/>
      <family val="2"/>
    </font>
    <font>
      <b/>
      <sz val="11"/>
      <color rgb="FF1F3864"/>
      <name val="Calibri"/>
      <family val="2"/>
    </font>
    <font>
      <b/>
      <sz val="11"/>
      <color rgb="FFFFFFFF"/>
      <name val="Calibri"/>
      <family val="2"/>
    </font>
    <font>
      <b/>
      <sz val="15"/>
      <color rgb="FFFFFFFF"/>
      <name val="Arial"/>
      <family val="2"/>
      <charset val="1"/>
    </font>
    <font>
      <i/>
      <sz val="9"/>
      <color rgb="FFFFFFFF"/>
      <name val="Arial"/>
      <family val="2"/>
      <charset val="1"/>
    </font>
    <font>
      <b/>
      <sz val="10"/>
      <color rgb="FFFFFFFF"/>
      <name val="Arial"/>
      <family val="2"/>
      <charset val="1"/>
    </font>
    <font>
      <b/>
      <sz val="9"/>
      <color rgb="FF000000"/>
      <name val="Arial"/>
      <family val="2"/>
      <charset val="1"/>
    </font>
    <font>
      <b/>
      <sz val="10"/>
      <color rgb="FF0000FF"/>
      <name val="Arial"/>
      <family val="2"/>
      <charset val="1"/>
    </font>
    <font>
      <sz val="9"/>
      <color rgb="FF000000"/>
      <name val="Arial"/>
      <family val="2"/>
      <charset val="1"/>
    </font>
    <font>
      <b/>
      <sz val="9"/>
      <color rgb="FFFFFFFF"/>
      <name val="Arial"/>
      <family val="2"/>
      <charset val="1"/>
    </font>
    <font>
      <b/>
      <sz val="10"/>
      <color rgb="FF000000"/>
      <name val="Arial"/>
      <family val="2"/>
      <charset val="1"/>
    </font>
    <font>
      <sz val="10"/>
      <color rgb="FF000000"/>
      <name val="Arial"/>
      <family val="2"/>
      <charset val="1"/>
    </font>
    <font>
      <b/>
      <sz val="11"/>
      <color rgb="FF1F3864"/>
      <name val="Calibri"/>
      <family val="2"/>
      <charset val="1"/>
    </font>
    <font>
      <b/>
      <sz val="10"/>
      <color rgb="FF000000"/>
      <name val="Calibri"/>
      <family val="2"/>
      <charset val="1"/>
    </font>
    <font>
      <b/>
      <sz val="10"/>
      <color rgb="FF0000FF"/>
      <name val="Calibri"/>
      <family val="2"/>
      <charset val="1"/>
    </font>
    <font>
      <sz val="9"/>
      <color rgb="FF000000"/>
      <name val="Calibri"/>
      <family val="2"/>
      <charset val="1"/>
    </font>
    <font>
      <sz val="9"/>
      <name val="Calibri"/>
      <family val="2"/>
      <charset val="1"/>
    </font>
    <font>
      <b/>
      <sz val="11"/>
      <color rgb="FFC00000"/>
      <name val="Calibri"/>
      <family val="2"/>
      <charset val="1"/>
    </font>
    <font>
      <b/>
      <sz val="9"/>
      <color rgb="FFFFFFFF"/>
      <name val="Calibri"/>
      <family val="2"/>
      <charset val="1"/>
    </font>
    <font>
      <b/>
      <sz val="9"/>
      <color rgb="FF000000"/>
      <name val="Calibri"/>
      <family val="2"/>
      <charset val="1"/>
    </font>
    <font>
      <b/>
      <sz val="15"/>
      <color rgb="FFFFFFFF"/>
      <name val="Calibri"/>
      <family val="2"/>
      <charset val="1"/>
    </font>
    <font>
      <sz val="9"/>
      <color rgb="FFD9E1F2"/>
      <name val="Calibri"/>
      <family val="2"/>
      <charset val="1"/>
    </font>
    <font>
      <b/>
      <sz val="9"/>
      <color rgb="FF1F3864"/>
      <name val="Calibri"/>
      <family val="2"/>
      <charset val="1"/>
    </font>
    <font>
      <b/>
      <sz val="11"/>
      <color theme="0"/>
      <name val="Calibri"/>
      <family val="2"/>
      <charset val="1"/>
    </font>
    <font>
      <b/>
      <sz val="9"/>
      <color theme="0"/>
      <name val="Calibri"/>
      <family val="2"/>
      <charset val="1"/>
    </font>
    <font>
      <i/>
      <sz val="9"/>
      <color rgb="FFC00000"/>
      <name val="Calibri"/>
      <family val="2"/>
      <charset val="1"/>
    </font>
    <font>
      <sz val="9"/>
      <name val="Calibri"/>
      <family val="2"/>
    </font>
    <font>
      <sz val="9"/>
      <color rgb="FFFF0000"/>
      <name val="Calibri"/>
      <family val="2"/>
    </font>
  </fonts>
  <fills count="21">
    <fill>
      <patternFill patternType="none"/>
    </fill>
    <fill>
      <patternFill patternType="gray125"/>
    </fill>
    <fill>
      <patternFill patternType="solid">
        <fgColor rgb="FF1F3864"/>
        <bgColor rgb="FF17375E"/>
      </patternFill>
    </fill>
    <fill>
      <patternFill patternType="solid">
        <fgColor rgb="FF2E5496"/>
        <bgColor rgb="FF305496"/>
      </patternFill>
    </fill>
    <fill>
      <patternFill patternType="solid">
        <fgColor rgb="FF305496"/>
        <bgColor rgb="FF2E5496"/>
      </patternFill>
    </fill>
    <fill>
      <patternFill patternType="solid">
        <fgColor rgb="FFF2F5FB"/>
        <bgColor rgb="FFF2F2F2"/>
      </patternFill>
    </fill>
    <fill>
      <patternFill patternType="solid">
        <fgColor rgb="FFC00000"/>
        <bgColor rgb="FF800000"/>
      </patternFill>
    </fill>
    <fill>
      <patternFill patternType="solid">
        <fgColor rgb="FFFFF2CC"/>
        <bgColor rgb="FFFCE4D6"/>
      </patternFill>
    </fill>
    <fill>
      <patternFill patternType="solid">
        <fgColor rgb="FF4472C4"/>
        <bgColor rgb="FF305496"/>
      </patternFill>
    </fill>
    <fill>
      <patternFill patternType="solid">
        <fgColor rgb="FFD9E1F2"/>
        <bgColor rgb="FFE7E6E6"/>
      </patternFill>
    </fill>
    <fill>
      <patternFill patternType="solid">
        <fgColor rgb="FFFCE4D6"/>
        <bgColor rgb="FFFFF2CC"/>
      </patternFill>
    </fill>
    <fill>
      <patternFill patternType="solid">
        <fgColor rgb="FFC6EFCE"/>
        <bgColor rgb="FFD9E1F2"/>
      </patternFill>
    </fill>
    <fill>
      <patternFill patternType="solid">
        <fgColor rgb="FFFFEB9C"/>
        <bgColor rgb="FFFFF2CC"/>
      </patternFill>
    </fill>
    <fill>
      <patternFill patternType="solid">
        <fgColor rgb="FFFFD966"/>
        <bgColor rgb="FFFFEB9C"/>
      </patternFill>
    </fill>
    <fill>
      <patternFill patternType="solid">
        <fgColor rgb="FFF4B183"/>
        <bgColor rgb="FFFFD966"/>
      </patternFill>
    </fill>
    <fill>
      <patternFill patternType="solid">
        <fgColor rgb="FFFF5050"/>
        <bgColor rgb="FFFF8080"/>
      </patternFill>
    </fill>
    <fill>
      <patternFill patternType="solid">
        <fgColor theme="3" tint="-0.249977111117893"/>
        <bgColor rgb="FF1F3864"/>
      </patternFill>
    </fill>
    <fill>
      <patternFill patternType="solid">
        <fgColor rgb="FF2E4A7A"/>
        <bgColor rgb="FF2E5496"/>
      </patternFill>
    </fill>
    <fill>
      <patternFill patternType="solid">
        <fgColor rgb="FFE7E6E6"/>
        <bgColor rgb="FFD9E1F2"/>
      </patternFill>
    </fill>
    <fill>
      <patternFill patternType="solid">
        <fgColor rgb="FFF2F2F2"/>
        <bgColor rgb="FFF2F5FB"/>
      </patternFill>
    </fill>
    <fill>
      <patternFill patternType="solid">
        <fgColor theme="0"/>
        <bgColor rgb="FFF2F5FB"/>
      </patternFill>
    </fill>
  </fills>
  <borders count="4">
    <border>
      <left/>
      <right/>
      <top/>
      <bottom/>
      <diagonal/>
    </border>
    <border>
      <left style="thin">
        <color rgb="FFC9C9C9"/>
      </left>
      <right style="thin">
        <color rgb="FFC9C9C9"/>
      </right>
      <top style="thin">
        <color rgb="FFC9C9C9"/>
      </top>
      <bottom style="thin">
        <color rgb="FFC9C9C9"/>
      </bottom>
      <diagonal/>
    </border>
    <border>
      <left/>
      <right/>
      <top/>
      <bottom style="thin">
        <color rgb="FFC9C9C9"/>
      </bottom>
      <diagonal/>
    </border>
    <border>
      <left style="thin">
        <color rgb="FFC9C9C9"/>
      </left>
      <right/>
      <top style="thin">
        <color rgb="FFC9C9C9"/>
      </top>
      <bottom style="thin">
        <color rgb="FFC9C9C9"/>
      </bottom>
      <diagonal/>
    </border>
  </borders>
  <cellStyleXfs count="1">
    <xf numFmtId="0" fontId="0" fillId="0" borderId="0"/>
  </cellStyleXfs>
  <cellXfs count="116">
    <xf numFmtId="0" fontId="0" fillId="0" borderId="0" xfId="0"/>
    <xf numFmtId="0" fontId="22" fillId="2" borderId="0" xfId="0" applyFont="1" applyFill="1" applyAlignment="1">
      <alignment horizontal="left" vertical="center" indent="1"/>
    </xf>
    <xf numFmtId="0" fontId="7" fillId="10" borderId="0" xfId="0" applyFont="1" applyFill="1" applyAlignment="1">
      <alignment vertical="top" wrapText="1"/>
    </xf>
    <xf numFmtId="0" fontId="11" fillId="0" borderId="0" xfId="0" applyFont="1" applyAlignment="1">
      <alignment vertical="top" wrapText="1"/>
    </xf>
    <xf numFmtId="0" fontId="4" fillId="9" borderId="0" xfId="0" applyFont="1" applyFill="1" applyAlignment="1">
      <alignment vertical="top" wrapText="1"/>
    </xf>
    <xf numFmtId="0" fontId="0" fillId="0" borderId="0" xfId="0"/>
    <xf numFmtId="0" fontId="15" fillId="9" borderId="0" xfId="0" applyFont="1" applyFill="1"/>
    <xf numFmtId="0" fontId="20" fillId="9" borderId="0" xfId="0" applyFont="1" applyFill="1"/>
    <xf numFmtId="0" fontId="17" fillId="0" borderId="0" xfId="0" applyFont="1"/>
    <xf numFmtId="0" fontId="14"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vertical="top"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6" fillId="6"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9" fillId="0" borderId="1" xfId="0" applyFont="1" applyBorder="1" applyAlignment="1">
      <alignment horizontal="center" vertical="center"/>
    </xf>
    <xf numFmtId="0" fontId="10" fillId="0" borderId="0" xfId="0" applyFont="1"/>
    <xf numFmtId="0" fontId="11" fillId="0" borderId="0" xfId="0" applyFont="1"/>
    <xf numFmtId="0" fontId="12" fillId="7" borderId="0" xfId="0" applyFont="1" applyFill="1" applyAlignment="1">
      <alignment horizontal="center" vertical="center"/>
    </xf>
    <xf numFmtId="0" fontId="11" fillId="0" borderId="0" xfId="0" applyFont="1" applyAlignment="1">
      <alignment vertical="top"/>
    </xf>
    <xf numFmtId="0" fontId="13" fillId="0" borderId="0" xfId="0" applyFont="1" applyAlignment="1">
      <alignment horizontal="center" vertical="center"/>
    </xf>
    <xf numFmtId="165" fontId="13" fillId="0" borderId="0" xfId="0" applyNumberFormat="1" applyFont="1" applyAlignment="1">
      <alignment horizontal="center" vertical="center"/>
    </xf>
    <xf numFmtId="164" fontId="13" fillId="0" borderId="0" xfId="0" applyNumberFormat="1" applyFont="1" applyAlignment="1">
      <alignment horizontal="center" vertical="center"/>
    </xf>
    <xf numFmtId="2" fontId="13" fillId="0" borderId="0" xfId="0" applyNumberFormat="1" applyFont="1" applyAlignment="1">
      <alignment horizontal="center" vertical="center"/>
    </xf>
    <xf numFmtId="0" fontId="15" fillId="0" borderId="0" xfId="0" applyFont="1" applyAlignment="1">
      <alignment horizontal="center" vertical="center"/>
    </xf>
    <xf numFmtId="0" fontId="16" fillId="6" borderId="0" xfId="0" applyFont="1" applyFill="1" applyAlignment="1">
      <alignment horizontal="center" vertical="center"/>
    </xf>
    <xf numFmtId="0" fontId="6" fillId="8" borderId="1" xfId="0" applyFont="1" applyFill="1" applyBorder="1" applyAlignment="1">
      <alignment horizontal="center" vertical="center" wrapText="1"/>
    </xf>
    <xf numFmtId="0" fontId="18" fillId="7" borderId="1" xfId="0" applyFont="1" applyFill="1" applyBorder="1" applyAlignment="1">
      <alignment horizontal="center" vertical="center"/>
    </xf>
    <xf numFmtId="0" fontId="18" fillId="7" borderId="1" xfId="0" applyFont="1" applyFill="1" applyBorder="1" applyAlignment="1">
      <alignment vertical="top" wrapText="1"/>
    </xf>
    <xf numFmtId="164" fontId="8" fillId="0" borderId="1" xfId="0" applyNumberFormat="1" applyFont="1" applyBorder="1" applyAlignment="1">
      <alignment horizontal="center" vertical="center"/>
    </xf>
    <xf numFmtId="0" fontId="19" fillId="0" borderId="1" xfId="0" applyFont="1" applyBorder="1" applyAlignment="1">
      <alignment horizontal="center" vertical="center"/>
    </xf>
    <xf numFmtId="2" fontId="12" fillId="7" borderId="0" xfId="0" applyNumberFormat="1" applyFont="1" applyFill="1" applyAlignment="1">
      <alignment horizontal="center" vertical="center"/>
    </xf>
    <xf numFmtId="2"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65" fontId="13" fillId="0" borderId="1" xfId="0" applyNumberFormat="1" applyFont="1" applyBorder="1" applyAlignment="1">
      <alignment horizontal="center" vertical="center"/>
    </xf>
    <xf numFmtId="0" fontId="21" fillId="6" borderId="1" xfId="0" applyFont="1" applyFill="1" applyBorder="1" applyAlignment="1">
      <alignment horizontal="center" vertical="center"/>
    </xf>
    <xf numFmtId="0" fontId="11" fillId="0" borderId="0" xfId="0" applyFont="1" applyAlignment="1">
      <alignment vertical="top" wrapText="1"/>
    </xf>
    <xf numFmtId="0" fontId="14" fillId="0" borderId="1" xfId="0" applyFont="1" applyBorder="1" applyAlignment="1">
      <alignment vertical="top" wrapText="1"/>
    </xf>
    <xf numFmtId="0" fontId="24" fillId="4" borderId="0" xfId="0" applyFont="1" applyFill="1"/>
    <xf numFmtId="0" fontId="25" fillId="0" borderId="1" xfId="0" applyFont="1" applyBorder="1"/>
    <xf numFmtId="0" fontId="26" fillId="7" borderId="1" xfId="0" applyFont="1" applyFill="1" applyBorder="1" applyAlignment="1">
      <alignment horizontal="center" vertical="center"/>
    </xf>
    <xf numFmtId="0" fontId="28" fillId="4" borderId="1" xfId="0" applyFont="1" applyFill="1" applyBorder="1" applyAlignment="1">
      <alignment horizontal="center" vertical="center" wrapText="1"/>
    </xf>
    <xf numFmtId="0" fontId="29" fillId="11" borderId="1" xfId="0" applyFont="1" applyFill="1" applyBorder="1" applyAlignment="1">
      <alignment vertical="top"/>
    </xf>
    <xf numFmtId="0" fontId="30" fillId="0" borderId="1" xfId="0" applyFont="1" applyBorder="1" applyAlignment="1">
      <alignment horizontal="center" vertical="center"/>
    </xf>
    <xf numFmtId="0" fontId="30" fillId="0" borderId="1" xfId="0" applyFont="1" applyBorder="1" applyAlignment="1">
      <alignment vertical="top"/>
    </xf>
    <xf numFmtId="0" fontId="29" fillId="12" borderId="1" xfId="0" applyFont="1" applyFill="1" applyBorder="1" applyAlignment="1">
      <alignment vertical="top"/>
    </xf>
    <xf numFmtId="0" fontId="29" fillId="13" borderId="1" xfId="0" applyFont="1" applyFill="1" applyBorder="1" applyAlignment="1">
      <alignment vertical="top"/>
    </xf>
    <xf numFmtId="0" fontId="29" fillId="14" borderId="1" xfId="0" applyFont="1" applyFill="1" applyBorder="1" applyAlignment="1">
      <alignment vertical="top"/>
    </xf>
    <xf numFmtId="0" fontId="29" fillId="15" borderId="1" xfId="0" applyFont="1" applyFill="1" applyBorder="1" applyAlignment="1">
      <alignment vertical="top"/>
    </xf>
    <xf numFmtId="0" fontId="32" fillId="0" borderId="1" xfId="0" applyFont="1" applyBorder="1"/>
    <xf numFmtId="0" fontId="33" fillId="7" borderId="1" xfId="0" applyFont="1" applyFill="1" applyBorder="1" applyAlignment="1">
      <alignment horizontal="center"/>
    </xf>
    <xf numFmtId="0" fontId="32" fillId="0" borderId="0" xfId="0" applyFont="1" applyAlignment="1">
      <alignment vertical="center"/>
    </xf>
    <xf numFmtId="0" fontId="0" fillId="0" borderId="0" xfId="0" applyAlignment="1">
      <alignment vertical="center"/>
    </xf>
    <xf numFmtId="0" fontId="32" fillId="0" borderId="1" xfId="0" applyFont="1" applyBorder="1" applyAlignment="1">
      <alignment vertical="center" wrapText="1"/>
    </xf>
    <xf numFmtId="0" fontId="33" fillId="7" borderId="1" xfId="0" applyFont="1" applyFill="1" applyBorder="1" applyAlignment="1">
      <alignment horizontal="center" vertical="center"/>
    </xf>
    <xf numFmtId="0" fontId="37" fillId="4" borderId="1" xfId="0" applyFont="1" applyFill="1" applyBorder="1" applyAlignment="1">
      <alignment horizontal="center" vertical="center" wrapText="1"/>
    </xf>
    <xf numFmtId="0" fontId="38" fillId="0" borderId="1" xfId="0" applyFont="1" applyBorder="1" applyAlignment="1">
      <alignment vertical="top" wrapText="1"/>
    </xf>
    <xf numFmtId="0" fontId="34" fillId="0" borderId="1" xfId="0" applyFont="1" applyBorder="1" applyAlignment="1">
      <alignment vertical="top" wrapText="1"/>
    </xf>
    <xf numFmtId="0" fontId="37" fillId="8" borderId="1" xfId="0" applyFont="1" applyFill="1" applyBorder="1" applyAlignment="1">
      <alignment horizontal="center" vertical="center" wrapText="1"/>
    </xf>
    <xf numFmtId="0" fontId="41" fillId="0" borderId="1" xfId="0" applyFont="1" applyBorder="1" applyAlignment="1">
      <alignment horizontal="center" vertical="center"/>
    </xf>
    <xf numFmtId="0" fontId="34" fillId="0" borderId="1" xfId="0" applyFont="1" applyBorder="1" applyAlignment="1">
      <alignment vertical="center" wrapText="1"/>
    </xf>
    <xf numFmtId="0" fontId="34" fillId="18" borderId="1" xfId="0" applyFont="1" applyFill="1" applyBorder="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center" vertical="center" wrapText="1"/>
    </xf>
    <xf numFmtId="0" fontId="41" fillId="19" borderId="1" xfId="0" applyFont="1" applyFill="1" applyBorder="1" applyAlignment="1">
      <alignment horizontal="center" vertical="center"/>
    </xf>
    <xf numFmtId="0" fontId="34" fillId="19" borderId="1" xfId="0" applyFont="1" applyFill="1" applyBorder="1" applyAlignment="1">
      <alignment vertical="center" wrapText="1"/>
    </xf>
    <xf numFmtId="0" fontId="34" fillId="11" borderId="1" xfId="0" applyFont="1" applyFill="1" applyBorder="1" applyAlignment="1">
      <alignment horizontal="center" vertical="center"/>
    </xf>
    <xf numFmtId="0" fontId="34" fillId="19" borderId="1" xfId="0" applyFont="1" applyFill="1" applyBorder="1" applyAlignment="1">
      <alignment horizontal="center" vertical="center"/>
    </xf>
    <xf numFmtId="0" fontId="34" fillId="19" borderId="1" xfId="0" applyFont="1" applyFill="1" applyBorder="1" applyAlignment="1">
      <alignment horizontal="center" vertical="center" wrapText="1"/>
    </xf>
    <xf numFmtId="0" fontId="34" fillId="12" borderId="1" xfId="0" applyFont="1" applyFill="1" applyBorder="1" applyAlignment="1">
      <alignment horizontal="center" vertical="center"/>
    </xf>
    <xf numFmtId="0" fontId="34" fillId="13" borderId="1" xfId="0" applyFont="1" applyFill="1" applyBorder="1" applyAlignment="1">
      <alignment horizontal="center" vertical="center"/>
    </xf>
    <xf numFmtId="0" fontId="34" fillId="14" borderId="1" xfId="0" applyFont="1" applyFill="1" applyBorder="1" applyAlignment="1">
      <alignment horizontal="center" vertical="center"/>
    </xf>
    <xf numFmtId="0" fontId="34" fillId="15" borderId="1" xfId="0" applyFont="1" applyFill="1" applyBorder="1" applyAlignment="1">
      <alignment horizontal="center" vertical="center"/>
    </xf>
    <xf numFmtId="0" fontId="42" fillId="20" borderId="0" xfId="0" applyFont="1" applyFill="1" applyAlignment="1">
      <alignment vertical="center"/>
    </xf>
    <xf numFmtId="0" fontId="37" fillId="8" borderId="3" xfId="0" applyFont="1" applyFill="1" applyBorder="1" applyAlignment="1">
      <alignment horizontal="center" vertical="center" wrapText="1"/>
    </xf>
    <xf numFmtId="0" fontId="43" fillId="20" borderId="0" xfId="0" applyFont="1" applyFill="1" applyAlignment="1">
      <alignment horizontal="center" vertical="center" wrapText="1"/>
    </xf>
    <xf numFmtId="0" fontId="38" fillId="11" borderId="1" xfId="0" applyFont="1" applyFill="1" applyBorder="1" applyAlignment="1">
      <alignment vertical="top" wrapText="1"/>
    </xf>
    <xf numFmtId="0" fontId="38" fillId="12" borderId="1" xfId="0" applyFont="1" applyFill="1" applyBorder="1" applyAlignment="1">
      <alignment vertical="top" wrapText="1"/>
    </xf>
    <xf numFmtId="0" fontId="38" fillId="13" borderId="1" xfId="0" applyFont="1" applyFill="1" applyBorder="1" applyAlignment="1">
      <alignment vertical="top" wrapText="1"/>
    </xf>
    <xf numFmtId="0" fontId="38" fillId="14" borderId="1" xfId="0" applyFont="1" applyFill="1" applyBorder="1" applyAlignment="1">
      <alignment vertical="top" wrapText="1"/>
    </xf>
    <xf numFmtId="0" fontId="38" fillId="15" borderId="1" xfId="0" applyFont="1" applyFill="1" applyBorder="1" applyAlignment="1">
      <alignment vertical="top" wrapText="1"/>
    </xf>
    <xf numFmtId="0" fontId="38" fillId="19" borderId="1" xfId="0" applyFont="1" applyFill="1" applyBorder="1" applyAlignment="1">
      <alignment vertical="top" wrapText="1"/>
    </xf>
    <xf numFmtId="0" fontId="34" fillId="19" borderId="1" xfId="0" applyFont="1" applyFill="1" applyBorder="1" applyAlignment="1">
      <alignment vertical="top" wrapText="1"/>
    </xf>
    <xf numFmtId="0" fontId="1" fillId="2" borderId="0" xfId="0" applyFont="1" applyFill="1" applyAlignment="1">
      <alignment horizontal="left" vertical="center" wrapText="1" indent="1"/>
    </xf>
    <xf numFmtId="0" fontId="6" fillId="3" borderId="0" xfId="0" applyFont="1" applyFill="1" applyAlignment="1">
      <alignment horizontal="left" vertical="center" wrapText="1" indent="1"/>
    </xf>
    <xf numFmtId="0" fontId="7" fillId="0" borderId="0" xfId="0" applyFont="1" applyAlignment="1">
      <alignment vertical="top" wrapText="1"/>
    </xf>
    <xf numFmtId="0" fontId="45" fillId="0" borderId="1" xfId="0" applyFont="1" applyBorder="1" applyAlignment="1">
      <alignment horizontal="center" vertical="center"/>
    </xf>
    <xf numFmtId="0" fontId="45" fillId="0" borderId="1" xfId="0" applyFont="1" applyBorder="1" applyAlignment="1">
      <alignment vertical="top" wrapText="1"/>
    </xf>
    <xf numFmtId="0" fontId="23" fillId="3" borderId="0" xfId="0" applyFont="1" applyFill="1" applyAlignment="1">
      <alignment horizontal="left" vertical="center" wrapText="1" indent="1"/>
    </xf>
    <xf numFmtId="0" fontId="24" fillId="4" borderId="0" xfId="0" applyFont="1" applyFill="1"/>
    <xf numFmtId="0" fontId="27" fillId="0" borderId="1" xfId="0" applyFont="1" applyBorder="1" applyAlignment="1">
      <alignment vertical="top" wrapText="1"/>
    </xf>
    <xf numFmtId="0" fontId="31" fillId="9" borderId="0" xfId="0" applyFont="1" applyFill="1"/>
    <xf numFmtId="0" fontId="34" fillId="0" borderId="0" xfId="0" applyFont="1" applyAlignment="1">
      <alignment vertical="top" wrapText="1"/>
    </xf>
    <xf numFmtId="0" fontId="35" fillId="0" borderId="0" xfId="0" applyFont="1" applyAlignment="1">
      <alignment vertical="center" wrapText="1"/>
    </xf>
    <xf numFmtId="0" fontId="34" fillId="0" borderId="0" xfId="0" applyFont="1" applyAlignment="1">
      <alignment vertical="center" wrapText="1"/>
    </xf>
    <xf numFmtId="0" fontId="36" fillId="9" borderId="0" xfId="0" applyFont="1" applyFill="1"/>
    <xf numFmtId="0" fontId="34" fillId="0" borderId="1" xfId="0" applyFont="1" applyBorder="1" applyAlignment="1">
      <alignment vertical="top" wrapText="1"/>
    </xf>
    <xf numFmtId="0" fontId="39" fillId="16" borderId="0" xfId="0" applyFont="1" applyFill="1" applyAlignment="1">
      <alignment horizontal="left" vertical="center" indent="1"/>
    </xf>
    <xf numFmtId="0" fontId="40" fillId="17" borderId="0" xfId="0" applyFont="1" applyFill="1" applyAlignment="1">
      <alignment horizontal="left" vertical="center" wrapText="1" indent="1"/>
    </xf>
    <xf numFmtId="0" fontId="31" fillId="9" borderId="0" xfId="0" applyFont="1" applyFill="1" applyAlignment="1">
      <alignment horizontal="left" vertical="center"/>
    </xf>
    <xf numFmtId="0" fontId="31" fillId="9" borderId="2" xfId="0" applyFont="1" applyFill="1" applyBorder="1" applyAlignment="1">
      <alignment horizontal="left" vertical="center"/>
    </xf>
    <xf numFmtId="0" fontId="44" fillId="0" borderId="0" xfId="0" applyFont="1" applyAlignment="1">
      <alignment vertical="top" wrapText="1"/>
    </xf>
    <xf numFmtId="0" fontId="46" fillId="0" borderId="1" xfId="0" applyFont="1" applyBorder="1" applyAlignment="1">
      <alignment vertical="top" wrapText="1"/>
    </xf>
    <xf numFmtId="0" fontId="46" fillId="5" borderId="1" xfId="0" applyFont="1" applyFill="1" applyBorder="1" applyAlignment="1">
      <alignment vertical="top" wrapText="1"/>
    </xf>
    <xf numFmtId="0" fontId="46" fillId="5" borderId="1" xfId="0" applyFont="1" applyFill="1" applyBorder="1" applyAlignment="1">
      <alignment horizontal="center" vertical="center" wrapText="1"/>
    </xf>
    <xf numFmtId="0" fontId="4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2CC"/>
      <rgbColor rgb="FFF2F5FB"/>
      <rgbColor rgb="FF660066"/>
      <rgbColor rgb="FFFF8080"/>
      <rgbColor rgb="FF2E5496"/>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4B183"/>
      <rgbColor rgb="FFFCE4D6"/>
      <rgbColor rgb="FFFFD966"/>
      <rgbColor rgb="FF4472C4"/>
      <rgbColor rgb="FF33CCCC"/>
      <rgbColor rgb="FF99CC00"/>
      <rgbColor rgb="FFFFCC00"/>
      <rgbColor rgb="FFFF9900"/>
      <rgbColor rgb="FFFF5050"/>
      <rgbColor rgb="FF305496"/>
      <rgbColor rgb="FF7F7F7F"/>
      <rgbColor rgb="FF17375E"/>
      <rgbColor rgb="FF339966"/>
      <rgbColor rgb="FF003300"/>
      <rgbColor rgb="FF333300"/>
      <rgbColor rgb="FF993300"/>
      <rgbColor rgb="FF993366"/>
      <rgbColor rgb="FF2E4A7A"/>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286200</xdr:colOff>
      <xdr:row>23</xdr:row>
      <xdr:rowOff>0</xdr:rowOff>
    </xdr:from>
    <xdr:to>
      <xdr:col>10</xdr:col>
      <xdr:colOff>1311840</xdr:colOff>
      <xdr:row>33</xdr:row>
      <xdr:rowOff>14760</xdr:rowOff>
    </xdr:to>
    <xdr:pic>
      <xdr:nvPicPr>
        <xdr:cNvPr id="2" name="Picture 2">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xdr:blipFill>
      <xdr:spPr>
        <a:xfrm>
          <a:off x="8039520" y="9153360"/>
          <a:ext cx="6382440" cy="30819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zoomScaleNormal="100" workbookViewId="0">
      <selection sqref="A1:F1"/>
    </sheetView>
  </sheetViews>
  <sheetFormatPr defaultColWidth="8.6328125" defaultRowHeight="14.5" x14ac:dyDescent="0.35"/>
  <cols>
    <col min="1" max="1" width="22" customWidth="1"/>
    <col min="2" max="6" width="18" customWidth="1"/>
  </cols>
  <sheetData>
    <row r="1" spans="1:6" ht="30" customHeight="1" x14ac:dyDescent="0.35">
      <c r="A1" s="14" t="s">
        <v>0</v>
      </c>
      <c r="B1" s="14"/>
      <c r="C1" s="14"/>
      <c r="D1" s="14"/>
      <c r="E1" s="14"/>
      <c r="F1" s="14"/>
    </row>
    <row r="2" spans="1:6" ht="25.5" customHeight="1" x14ac:dyDescent="0.35">
      <c r="A2" s="13" t="s">
        <v>1</v>
      </c>
      <c r="B2" s="13"/>
      <c r="C2" s="13"/>
      <c r="D2" s="13"/>
      <c r="E2" s="13"/>
      <c r="F2" s="13"/>
    </row>
    <row r="4" spans="1:6" ht="15" customHeight="1" x14ac:dyDescent="0.35">
      <c r="A4" s="12" t="s">
        <v>2</v>
      </c>
      <c r="B4" s="12"/>
      <c r="C4" s="12"/>
      <c r="D4" s="12"/>
      <c r="E4" s="12"/>
      <c r="F4" s="12"/>
    </row>
    <row r="5" spans="1:6" ht="15" customHeight="1" x14ac:dyDescent="0.35">
      <c r="A5" s="11" t="s">
        <v>3</v>
      </c>
      <c r="B5" s="11"/>
      <c r="C5" s="11"/>
      <c r="D5" s="11"/>
      <c r="E5" s="11"/>
      <c r="F5" s="11"/>
    </row>
    <row r="6" spans="1:6" ht="36" customHeight="1" x14ac:dyDescent="0.35">
      <c r="A6" s="11" t="s">
        <v>4</v>
      </c>
      <c r="B6" s="11"/>
      <c r="C6" s="11"/>
      <c r="D6" s="11"/>
      <c r="E6" s="11"/>
      <c r="F6" s="11"/>
    </row>
    <row r="7" spans="1:6" ht="21.75" customHeight="1" x14ac:dyDescent="0.35">
      <c r="A7" s="11" t="s">
        <v>5</v>
      </c>
      <c r="B7" s="11"/>
      <c r="C7" s="11"/>
      <c r="D7" s="11"/>
      <c r="E7" s="11"/>
      <c r="F7" s="11"/>
    </row>
    <row r="8" spans="1:6" ht="21.75" customHeight="1" x14ac:dyDescent="0.35">
      <c r="A8" s="11" t="s">
        <v>6</v>
      </c>
      <c r="B8" s="11"/>
      <c r="C8" s="11"/>
      <c r="D8" s="11"/>
      <c r="E8" s="11"/>
      <c r="F8" s="11"/>
    </row>
    <row r="9" spans="1:6" ht="15" customHeight="1" x14ac:dyDescent="0.35">
      <c r="A9" s="11" t="s">
        <v>7</v>
      </c>
      <c r="B9" s="11"/>
      <c r="C9" s="11"/>
      <c r="D9" s="11"/>
      <c r="E9" s="11"/>
      <c r="F9" s="11"/>
    </row>
    <row r="11" spans="1:6" ht="15" customHeight="1" x14ac:dyDescent="0.35">
      <c r="A11" s="10" t="s">
        <v>8</v>
      </c>
      <c r="B11" s="10"/>
      <c r="C11" s="10"/>
      <c r="D11" s="10"/>
      <c r="E11" s="10"/>
      <c r="F11" s="10"/>
    </row>
    <row r="12" spans="1:6" ht="21.75" customHeight="1" x14ac:dyDescent="0.35">
      <c r="A12" s="11" t="s">
        <v>9</v>
      </c>
      <c r="B12" s="11"/>
      <c r="C12" s="11"/>
      <c r="D12" s="11"/>
      <c r="E12" s="11"/>
      <c r="F12" s="11"/>
    </row>
    <row r="13" spans="1:6" ht="28.5" customHeight="1" x14ac:dyDescent="0.35">
      <c r="A13" s="11" t="s">
        <v>10</v>
      </c>
      <c r="B13" s="11"/>
      <c r="C13" s="11"/>
      <c r="D13" s="11"/>
      <c r="E13" s="11"/>
      <c r="F13" s="11"/>
    </row>
    <row r="14" spans="1:6" ht="28.5" customHeight="1" x14ac:dyDescent="0.35">
      <c r="A14" s="11" t="s">
        <v>11</v>
      </c>
      <c r="B14" s="11"/>
      <c r="C14" s="11"/>
      <c r="D14" s="11"/>
      <c r="E14" s="11"/>
      <c r="F14" s="11"/>
    </row>
    <row r="16" spans="1:6" ht="15" customHeight="1" x14ac:dyDescent="0.35">
      <c r="A16" s="10" t="s">
        <v>12</v>
      </c>
      <c r="B16" s="10"/>
      <c r="C16" s="10"/>
      <c r="D16" s="10"/>
      <c r="E16" s="10"/>
      <c r="F16" s="10"/>
    </row>
    <row r="17" spans="1:6" ht="28.5" customHeight="1" x14ac:dyDescent="0.35">
      <c r="A17" s="11" t="s">
        <v>13</v>
      </c>
      <c r="B17" s="11"/>
      <c r="C17" s="11"/>
      <c r="D17" s="11"/>
      <c r="E17" s="11"/>
      <c r="F17" s="11"/>
    </row>
  </sheetData>
  <mergeCells count="14">
    <mergeCell ref="A13:F13"/>
    <mergeCell ref="A14:F14"/>
    <mergeCell ref="A16:F16"/>
    <mergeCell ref="A17:F17"/>
    <mergeCell ref="A7:F7"/>
    <mergeCell ref="A8:F8"/>
    <mergeCell ref="A9:F9"/>
    <mergeCell ref="A11:F11"/>
    <mergeCell ref="A12:F12"/>
    <mergeCell ref="A1:F1"/>
    <mergeCell ref="A2:F2"/>
    <mergeCell ref="A4:F4"/>
    <mergeCell ref="A5:F5"/>
    <mergeCell ref="A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6"/>
  <sheetViews>
    <sheetView tabSelected="1" zoomScale="88" zoomScaleNormal="100" workbookViewId="0">
      <selection activeCell="D7" sqref="D7"/>
    </sheetView>
  </sheetViews>
  <sheetFormatPr defaultColWidth="8.6328125" defaultRowHeight="14.5" x14ac:dyDescent="0.35"/>
  <cols>
    <col min="1" max="1" width="8" customWidth="1"/>
    <col min="2" max="2" width="10" customWidth="1"/>
    <col min="3" max="3" width="26" customWidth="1"/>
    <col min="4" max="4" width="24" customWidth="1"/>
    <col min="5" max="5" width="15" customWidth="1"/>
    <col min="6" max="6" width="9" customWidth="1"/>
    <col min="7" max="7" width="26" customWidth="1"/>
    <col min="8" max="8" width="20" customWidth="1"/>
    <col min="9" max="9" width="22" customWidth="1"/>
    <col min="10" max="10" width="12" customWidth="1"/>
    <col min="11" max="11" width="13" customWidth="1"/>
    <col min="12" max="12" width="30" customWidth="1"/>
    <col min="13" max="13" width="42" customWidth="1"/>
    <col min="14" max="14" width="9" customWidth="1"/>
  </cols>
  <sheetData>
    <row r="1" spans="1:15" ht="30" customHeight="1" x14ac:dyDescent="0.35">
      <c r="A1" s="14" t="s">
        <v>14</v>
      </c>
      <c r="B1" s="14"/>
      <c r="C1" s="14"/>
      <c r="D1" s="14"/>
      <c r="E1" s="14"/>
      <c r="F1" s="14"/>
      <c r="G1" s="14"/>
      <c r="H1" s="14"/>
      <c r="I1" s="14"/>
      <c r="J1" s="14"/>
      <c r="K1" s="14"/>
      <c r="L1" s="14"/>
      <c r="M1" s="14"/>
      <c r="N1" s="14"/>
    </row>
    <row r="3" spans="1:15" ht="39.75" customHeight="1" x14ac:dyDescent="0.35">
      <c r="A3" s="15" t="s">
        <v>15</v>
      </c>
      <c r="B3" s="15" t="s">
        <v>16</v>
      </c>
      <c r="C3" s="15" t="s">
        <v>17</v>
      </c>
      <c r="D3" s="15" t="s">
        <v>18</v>
      </c>
      <c r="E3" s="15" t="s">
        <v>19</v>
      </c>
      <c r="F3" s="15" t="s">
        <v>20</v>
      </c>
      <c r="G3" s="15" t="s">
        <v>21</v>
      </c>
      <c r="H3" s="15" t="s">
        <v>22</v>
      </c>
      <c r="I3" s="15" t="s">
        <v>23</v>
      </c>
      <c r="J3" s="15" t="s">
        <v>24</v>
      </c>
      <c r="K3" s="15" t="s">
        <v>25</v>
      </c>
      <c r="L3" s="15" t="s">
        <v>26</v>
      </c>
      <c r="M3" s="15" t="s">
        <v>27</v>
      </c>
      <c r="N3" s="15" t="s">
        <v>28</v>
      </c>
    </row>
    <row r="4" spans="1:15" ht="21.75" customHeight="1" x14ac:dyDescent="0.35">
      <c r="A4" s="16" t="s">
        <v>29</v>
      </c>
      <c r="B4" s="16" t="s">
        <v>30</v>
      </c>
      <c r="C4" s="17" t="s">
        <v>31</v>
      </c>
      <c r="D4" s="17" t="s">
        <v>32</v>
      </c>
      <c r="E4" s="17" t="s">
        <v>33</v>
      </c>
      <c r="F4" s="16" t="s">
        <v>34</v>
      </c>
      <c r="G4" s="17" t="s">
        <v>35</v>
      </c>
      <c r="H4" s="17" t="s">
        <v>36</v>
      </c>
      <c r="I4" s="17" t="s">
        <v>37</v>
      </c>
      <c r="J4" s="16" t="s">
        <v>38</v>
      </c>
      <c r="K4" s="17" t="s">
        <v>39</v>
      </c>
      <c r="L4" s="17" t="s">
        <v>40</v>
      </c>
      <c r="M4" s="17" t="s">
        <v>41</v>
      </c>
      <c r="N4" s="16">
        <v>30</v>
      </c>
    </row>
    <row r="5" spans="1:15" ht="32.25" customHeight="1" x14ac:dyDescent="0.35">
      <c r="A5" s="18" t="s">
        <v>42</v>
      </c>
      <c r="B5" s="18" t="s">
        <v>30</v>
      </c>
      <c r="C5" s="19" t="s">
        <v>43</v>
      </c>
      <c r="D5" s="19" t="s">
        <v>44</v>
      </c>
      <c r="E5" s="19" t="s">
        <v>33</v>
      </c>
      <c r="F5" s="18" t="s">
        <v>34</v>
      </c>
      <c r="G5" s="19" t="s">
        <v>45</v>
      </c>
      <c r="H5" s="19" t="s">
        <v>36</v>
      </c>
      <c r="I5" s="19" t="s">
        <v>46</v>
      </c>
      <c r="J5" s="18" t="s">
        <v>38</v>
      </c>
      <c r="K5" s="19" t="s">
        <v>47</v>
      </c>
      <c r="L5" s="19" t="s">
        <v>48</v>
      </c>
      <c r="M5" s="19" t="s">
        <v>49</v>
      </c>
      <c r="N5" s="18">
        <v>30</v>
      </c>
    </row>
    <row r="6" spans="1:15" ht="21.75" customHeight="1" x14ac:dyDescent="0.35">
      <c r="A6" s="16" t="s">
        <v>50</v>
      </c>
      <c r="B6" s="16" t="s">
        <v>30</v>
      </c>
      <c r="C6" s="17" t="s">
        <v>51</v>
      </c>
      <c r="D6" s="17" t="s">
        <v>52</v>
      </c>
      <c r="E6" s="17" t="s">
        <v>33</v>
      </c>
      <c r="F6" s="20" t="s">
        <v>53</v>
      </c>
      <c r="G6" s="17" t="s">
        <v>54</v>
      </c>
      <c r="H6" s="17" t="s">
        <v>36</v>
      </c>
      <c r="I6" s="17" t="s">
        <v>37</v>
      </c>
      <c r="J6" s="16" t="s">
        <v>38</v>
      </c>
      <c r="K6" s="17" t="s">
        <v>55</v>
      </c>
      <c r="L6" s="17" t="s">
        <v>56</v>
      </c>
      <c r="M6" s="113" t="s">
        <v>57</v>
      </c>
      <c r="N6" s="114">
        <v>35</v>
      </c>
    </row>
    <row r="7" spans="1:15" ht="21.75" customHeight="1" x14ac:dyDescent="0.35">
      <c r="A7" s="18" t="s">
        <v>58</v>
      </c>
      <c r="B7" s="18" t="s">
        <v>30</v>
      </c>
      <c r="C7" s="112" t="s">
        <v>59</v>
      </c>
      <c r="D7" s="19" t="s">
        <v>60</v>
      </c>
      <c r="E7" s="19" t="s">
        <v>33</v>
      </c>
      <c r="F7" s="18" t="s">
        <v>34</v>
      </c>
      <c r="G7" s="19" t="s">
        <v>61</v>
      </c>
      <c r="H7" s="19" t="s">
        <v>36</v>
      </c>
      <c r="I7" s="19" t="s">
        <v>37</v>
      </c>
      <c r="J7" s="18" t="s">
        <v>38</v>
      </c>
      <c r="K7" s="19" t="s">
        <v>39</v>
      </c>
      <c r="L7" s="19" t="s">
        <v>62</v>
      </c>
      <c r="M7" s="19" t="s">
        <v>63</v>
      </c>
      <c r="N7" s="18">
        <v>25</v>
      </c>
    </row>
    <row r="8" spans="1:15" ht="21.75" customHeight="1" x14ac:dyDescent="0.35">
      <c r="A8" s="16" t="s">
        <v>64</v>
      </c>
      <c r="B8" s="16" t="s">
        <v>30</v>
      </c>
      <c r="C8" s="17" t="s">
        <v>65</v>
      </c>
      <c r="D8" s="17" t="s">
        <v>66</v>
      </c>
      <c r="E8" s="17" t="s">
        <v>33</v>
      </c>
      <c r="F8" s="16" t="s">
        <v>34</v>
      </c>
      <c r="G8" s="17" t="s">
        <v>67</v>
      </c>
      <c r="H8" s="17" t="s">
        <v>36</v>
      </c>
      <c r="I8" s="17" t="s">
        <v>37</v>
      </c>
      <c r="J8" s="16" t="s">
        <v>68</v>
      </c>
      <c r="K8" s="17" t="s">
        <v>47</v>
      </c>
      <c r="L8" s="17" t="s">
        <v>69</v>
      </c>
      <c r="M8" s="17" t="s">
        <v>70</v>
      </c>
      <c r="N8" s="16">
        <v>40</v>
      </c>
    </row>
    <row r="9" spans="1:15" ht="32.25" customHeight="1" x14ac:dyDescent="0.35">
      <c r="A9" s="18" t="s">
        <v>71</v>
      </c>
      <c r="B9" s="18" t="s">
        <v>30</v>
      </c>
      <c r="C9" s="19" t="s">
        <v>72</v>
      </c>
      <c r="D9" s="19" t="s">
        <v>73</v>
      </c>
      <c r="E9" s="19" t="s">
        <v>74</v>
      </c>
      <c r="F9" s="18" t="s">
        <v>34</v>
      </c>
      <c r="G9" s="19" t="s">
        <v>75</v>
      </c>
      <c r="H9" s="19" t="s">
        <v>76</v>
      </c>
      <c r="I9" s="19" t="s">
        <v>77</v>
      </c>
      <c r="J9" s="18" t="s">
        <v>38</v>
      </c>
      <c r="K9" s="19" t="s">
        <v>78</v>
      </c>
      <c r="L9" s="19" t="s">
        <v>79</v>
      </c>
      <c r="M9" s="19" t="s">
        <v>80</v>
      </c>
      <c r="N9" s="18">
        <v>30</v>
      </c>
    </row>
    <row r="10" spans="1:15" ht="21.75" customHeight="1" x14ac:dyDescent="0.35">
      <c r="A10" s="16" t="s">
        <v>81</v>
      </c>
      <c r="B10" s="16" t="s">
        <v>30</v>
      </c>
      <c r="C10" s="17" t="s">
        <v>82</v>
      </c>
      <c r="D10" s="17" t="s">
        <v>83</v>
      </c>
      <c r="E10" s="17" t="s">
        <v>84</v>
      </c>
      <c r="F10" s="20" t="s">
        <v>53</v>
      </c>
      <c r="G10" s="17" t="s">
        <v>85</v>
      </c>
      <c r="H10" s="17" t="s">
        <v>76</v>
      </c>
      <c r="I10" s="17" t="s">
        <v>77</v>
      </c>
      <c r="J10" s="16" t="s">
        <v>38</v>
      </c>
      <c r="K10" s="17" t="s">
        <v>78</v>
      </c>
      <c r="L10" s="17" t="s">
        <v>86</v>
      </c>
      <c r="M10" s="113" t="s">
        <v>57</v>
      </c>
      <c r="N10" s="16">
        <v>35</v>
      </c>
    </row>
    <row r="11" spans="1:15" ht="21.75" customHeight="1" x14ac:dyDescent="0.35">
      <c r="A11" s="18" t="s">
        <v>87</v>
      </c>
      <c r="B11" s="18" t="s">
        <v>30</v>
      </c>
      <c r="C11" s="19" t="s">
        <v>88</v>
      </c>
      <c r="D11" s="19" t="s">
        <v>89</v>
      </c>
      <c r="E11" s="19" t="s">
        <v>84</v>
      </c>
      <c r="F11" s="18" t="s">
        <v>34</v>
      </c>
      <c r="G11" s="19" t="s">
        <v>90</v>
      </c>
      <c r="H11" s="19" t="s">
        <v>76</v>
      </c>
      <c r="I11" s="19" t="s">
        <v>46</v>
      </c>
      <c r="J11" s="18" t="s">
        <v>38</v>
      </c>
      <c r="K11" s="19" t="s">
        <v>78</v>
      </c>
      <c r="L11" s="19" t="s">
        <v>91</v>
      </c>
      <c r="M11" s="112" t="s">
        <v>57</v>
      </c>
      <c r="N11" s="18">
        <v>35</v>
      </c>
    </row>
    <row r="12" spans="1:15" ht="21.75" customHeight="1" x14ac:dyDescent="0.35">
      <c r="A12" s="16" t="s">
        <v>92</v>
      </c>
      <c r="B12" s="16" t="s">
        <v>30</v>
      </c>
      <c r="C12" s="17" t="s">
        <v>93</v>
      </c>
      <c r="D12" s="17" t="s">
        <v>94</v>
      </c>
      <c r="E12" s="17" t="s">
        <v>84</v>
      </c>
      <c r="F12" s="16" t="s">
        <v>34</v>
      </c>
      <c r="G12" s="17" t="s">
        <v>95</v>
      </c>
      <c r="H12" s="17" t="s">
        <v>76</v>
      </c>
      <c r="I12" s="17" t="s">
        <v>77</v>
      </c>
      <c r="J12" s="16" t="s">
        <v>38</v>
      </c>
      <c r="K12" s="17" t="s">
        <v>78</v>
      </c>
      <c r="L12" s="17" t="s">
        <v>96</v>
      </c>
      <c r="M12" s="113" t="s">
        <v>97</v>
      </c>
      <c r="N12" s="16">
        <v>30</v>
      </c>
    </row>
    <row r="13" spans="1:15" ht="21.75" customHeight="1" x14ac:dyDescent="0.35">
      <c r="A13" s="18" t="s">
        <v>98</v>
      </c>
      <c r="B13" s="18" t="s">
        <v>30</v>
      </c>
      <c r="C13" s="19" t="s">
        <v>99</v>
      </c>
      <c r="D13" s="19" t="s">
        <v>100</v>
      </c>
      <c r="E13" s="19" t="s">
        <v>84</v>
      </c>
      <c r="F13" s="18" t="s">
        <v>34</v>
      </c>
      <c r="G13" s="19" t="s">
        <v>101</v>
      </c>
      <c r="H13" s="19" t="s">
        <v>76</v>
      </c>
      <c r="I13" s="19" t="s">
        <v>77</v>
      </c>
      <c r="J13" s="18" t="s">
        <v>38</v>
      </c>
      <c r="K13" s="19" t="s">
        <v>78</v>
      </c>
      <c r="L13" s="19" t="s">
        <v>102</v>
      </c>
      <c r="M13" s="19" t="s">
        <v>103</v>
      </c>
      <c r="N13" s="18">
        <v>30</v>
      </c>
    </row>
    <row r="14" spans="1:15" ht="21.75" customHeight="1" x14ac:dyDescent="0.35">
      <c r="A14" s="16" t="s">
        <v>104</v>
      </c>
      <c r="B14" s="16" t="s">
        <v>30</v>
      </c>
      <c r="C14" s="17" t="s">
        <v>105</v>
      </c>
      <c r="D14" s="17" t="s">
        <v>106</v>
      </c>
      <c r="E14" s="17" t="s">
        <v>84</v>
      </c>
      <c r="F14" s="16" t="s">
        <v>34</v>
      </c>
      <c r="G14" s="17" t="s">
        <v>107</v>
      </c>
      <c r="H14" s="17" t="s">
        <v>76</v>
      </c>
      <c r="I14" s="17" t="s">
        <v>77</v>
      </c>
      <c r="J14" s="16" t="s">
        <v>38</v>
      </c>
      <c r="K14" s="17" t="s">
        <v>78</v>
      </c>
      <c r="L14" s="17" t="s">
        <v>108</v>
      </c>
      <c r="M14" s="17" t="s">
        <v>103</v>
      </c>
      <c r="N14" s="16">
        <v>30</v>
      </c>
      <c r="O14" s="112" t="s">
        <v>1147</v>
      </c>
    </row>
    <row r="15" spans="1:15" ht="32.25" customHeight="1" x14ac:dyDescent="0.35">
      <c r="A15" s="18" t="s">
        <v>109</v>
      </c>
      <c r="B15" s="18" t="s">
        <v>30</v>
      </c>
      <c r="C15" s="19" t="s">
        <v>110</v>
      </c>
      <c r="D15" s="19" t="s">
        <v>111</v>
      </c>
      <c r="E15" s="19" t="s">
        <v>84</v>
      </c>
      <c r="F15" s="18" t="s">
        <v>34</v>
      </c>
      <c r="G15" s="19" t="s">
        <v>112</v>
      </c>
      <c r="H15" s="19" t="s">
        <v>76</v>
      </c>
      <c r="I15" s="19" t="s">
        <v>77</v>
      </c>
      <c r="J15" s="18" t="s">
        <v>38</v>
      </c>
      <c r="K15" s="19" t="s">
        <v>113</v>
      </c>
      <c r="L15" s="19" t="s">
        <v>114</v>
      </c>
      <c r="M15" s="112" t="s">
        <v>115</v>
      </c>
      <c r="N15" s="18">
        <v>40</v>
      </c>
      <c r="O15" s="112" t="s">
        <v>1148</v>
      </c>
    </row>
    <row r="16" spans="1:15" ht="32.25" customHeight="1" x14ac:dyDescent="0.35">
      <c r="A16" s="16" t="s">
        <v>116</v>
      </c>
      <c r="B16" s="16" t="s">
        <v>30</v>
      </c>
      <c r="C16" s="17" t="s">
        <v>117</v>
      </c>
      <c r="D16" s="17" t="s">
        <v>118</v>
      </c>
      <c r="E16" s="17" t="s">
        <v>84</v>
      </c>
      <c r="F16" s="16" t="s">
        <v>34</v>
      </c>
      <c r="G16" s="17" t="s">
        <v>119</v>
      </c>
      <c r="H16" s="17" t="s">
        <v>120</v>
      </c>
      <c r="I16" s="17" t="s">
        <v>46</v>
      </c>
      <c r="J16" s="16" t="s">
        <v>38</v>
      </c>
      <c r="K16" s="17" t="s">
        <v>78</v>
      </c>
      <c r="L16" s="17" t="s">
        <v>121</v>
      </c>
      <c r="M16" s="113" t="s">
        <v>122</v>
      </c>
      <c r="N16" s="16">
        <v>35</v>
      </c>
    </row>
    <row r="17" spans="1:15" ht="21.75" customHeight="1" x14ac:dyDescent="0.35">
      <c r="A17" s="18" t="s">
        <v>123</v>
      </c>
      <c r="B17" s="18" t="s">
        <v>30</v>
      </c>
      <c r="C17" s="19" t="s">
        <v>124</v>
      </c>
      <c r="D17" s="19" t="s">
        <v>125</v>
      </c>
      <c r="E17" s="19" t="s">
        <v>84</v>
      </c>
      <c r="F17" s="20" t="s">
        <v>53</v>
      </c>
      <c r="G17" s="19" t="s">
        <v>126</v>
      </c>
      <c r="H17" s="19" t="s">
        <v>120</v>
      </c>
      <c r="I17" s="19" t="s">
        <v>46</v>
      </c>
      <c r="J17" s="18" t="s">
        <v>38</v>
      </c>
      <c r="K17" s="19" t="s">
        <v>113</v>
      </c>
      <c r="L17" s="19" t="s">
        <v>127</v>
      </c>
      <c r="M17" s="19" t="s">
        <v>128</v>
      </c>
      <c r="N17" s="18">
        <v>35</v>
      </c>
      <c r="O17" s="112" t="s">
        <v>1149</v>
      </c>
    </row>
    <row r="18" spans="1:15" ht="32.25" customHeight="1" x14ac:dyDescent="0.35">
      <c r="A18" s="16" t="s">
        <v>129</v>
      </c>
      <c r="B18" s="16" t="s">
        <v>30</v>
      </c>
      <c r="C18" s="17" t="s">
        <v>130</v>
      </c>
      <c r="D18" s="17" t="s">
        <v>131</v>
      </c>
      <c r="E18" s="17" t="s">
        <v>84</v>
      </c>
      <c r="F18" s="16" t="s">
        <v>34</v>
      </c>
      <c r="G18" s="17" t="s">
        <v>132</v>
      </c>
      <c r="H18" s="17" t="s">
        <v>76</v>
      </c>
      <c r="I18" s="17" t="s">
        <v>77</v>
      </c>
      <c r="J18" s="16" t="s">
        <v>38</v>
      </c>
      <c r="K18" s="17" t="s">
        <v>113</v>
      </c>
      <c r="L18" s="17" t="s">
        <v>133</v>
      </c>
      <c r="M18" s="17" t="s">
        <v>134</v>
      </c>
      <c r="N18" s="16">
        <v>40</v>
      </c>
    </row>
    <row r="19" spans="1:15" ht="21.75" customHeight="1" x14ac:dyDescent="0.35">
      <c r="A19" s="18" t="s">
        <v>135</v>
      </c>
      <c r="B19" s="18" t="s">
        <v>30</v>
      </c>
      <c r="C19" s="19" t="s">
        <v>136</v>
      </c>
      <c r="D19" s="19" t="s">
        <v>137</v>
      </c>
      <c r="E19" s="19" t="s">
        <v>138</v>
      </c>
      <c r="F19" s="18" t="s">
        <v>34</v>
      </c>
      <c r="G19" s="19" t="s">
        <v>139</v>
      </c>
      <c r="H19" s="19" t="s">
        <v>140</v>
      </c>
      <c r="I19" s="19" t="s">
        <v>141</v>
      </c>
      <c r="J19" s="18" t="s">
        <v>68</v>
      </c>
      <c r="K19" s="19" t="s">
        <v>47</v>
      </c>
      <c r="L19" s="19" t="s">
        <v>142</v>
      </c>
      <c r="M19" s="19" t="s">
        <v>143</v>
      </c>
      <c r="N19" s="18">
        <v>50</v>
      </c>
    </row>
    <row r="20" spans="1:15" ht="21.75" customHeight="1" x14ac:dyDescent="0.35">
      <c r="A20" s="16" t="s">
        <v>144</v>
      </c>
      <c r="B20" s="16" t="s">
        <v>30</v>
      </c>
      <c r="C20" s="17" t="s">
        <v>145</v>
      </c>
      <c r="D20" s="17" t="s">
        <v>146</v>
      </c>
      <c r="E20" s="17" t="s">
        <v>138</v>
      </c>
      <c r="F20" s="16" t="s">
        <v>34</v>
      </c>
      <c r="G20" s="17" t="s">
        <v>147</v>
      </c>
      <c r="H20" s="17" t="s">
        <v>140</v>
      </c>
      <c r="I20" s="17" t="s">
        <v>141</v>
      </c>
      <c r="J20" s="16" t="s">
        <v>68</v>
      </c>
      <c r="K20" s="17" t="s">
        <v>47</v>
      </c>
      <c r="L20" s="17" t="s">
        <v>148</v>
      </c>
      <c r="M20" s="17" t="s">
        <v>143</v>
      </c>
      <c r="N20" s="16">
        <v>50</v>
      </c>
    </row>
    <row r="21" spans="1:15" ht="21.75" customHeight="1" x14ac:dyDescent="0.35">
      <c r="A21" s="18" t="s">
        <v>149</v>
      </c>
      <c r="B21" s="18" t="s">
        <v>30</v>
      </c>
      <c r="C21" s="19" t="s">
        <v>150</v>
      </c>
      <c r="D21" s="19" t="s">
        <v>151</v>
      </c>
      <c r="E21" s="19" t="s">
        <v>152</v>
      </c>
      <c r="F21" s="18" t="s">
        <v>34</v>
      </c>
      <c r="G21" s="19" t="s">
        <v>153</v>
      </c>
      <c r="H21" s="19" t="s">
        <v>154</v>
      </c>
      <c r="I21" s="19" t="s">
        <v>155</v>
      </c>
      <c r="J21" s="18" t="s">
        <v>68</v>
      </c>
      <c r="K21" s="19" t="s">
        <v>47</v>
      </c>
      <c r="L21" s="19" t="s">
        <v>156</v>
      </c>
      <c r="M21" s="19" t="s">
        <v>157</v>
      </c>
      <c r="N21" s="18">
        <v>40</v>
      </c>
    </row>
    <row r="22" spans="1:15" ht="42.75" customHeight="1" x14ac:dyDescent="0.35">
      <c r="A22" s="16" t="s">
        <v>158</v>
      </c>
      <c r="B22" s="16" t="s">
        <v>30</v>
      </c>
      <c r="C22" s="17" t="s">
        <v>159</v>
      </c>
      <c r="D22" s="17" t="s">
        <v>160</v>
      </c>
      <c r="E22" s="17" t="s">
        <v>161</v>
      </c>
      <c r="F22" s="16" t="s">
        <v>34</v>
      </c>
      <c r="G22" s="17" t="s">
        <v>162</v>
      </c>
      <c r="H22" s="17" t="s">
        <v>163</v>
      </c>
      <c r="I22" s="17" t="s">
        <v>164</v>
      </c>
      <c r="J22" s="16" t="s">
        <v>68</v>
      </c>
      <c r="K22" s="17" t="s">
        <v>113</v>
      </c>
      <c r="L22" s="17" t="s">
        <v>165</v>
      </c>
      <c r="M22" s="17" t="s">
        <v>166</v>
      </c>
      <c r="N22" s="16">
        <v>40</v>
      </c>
    </row>
    <row r="23" spans="1:15" ht="32.25" customHeight="1" x14ac:dyDescent="0.35">
      <c r="A23" s="18" t="s">
        <v>167</v>
      </c>
      <c r="B23" s="18" t="s">
        <v>30</v>
      </c>
      <c r="C23" s="19" t="s">
        <v>168</v>
      </c>
      <c r="D23" s="19" t="s">
        <v>169</v>
      </c>
      <c r="E23" s="19" t="s">
        <v>74</v>
      </c>
      <c r="F23" s="18" t="s">
        <v>34</v>
      </c>
      <c r="G23" s="19" t="s">
        <v>170</v>
      </c>
      <c r="H23" s="19" t="s">
        <v>163</v>
      </c>
      <c r="I23" s="19" t="s">
        <v>164</v>
      </c>
      <c r="J23" s="18" t="s">
        <v>68</v>
      </c>
      <c r="K23" s="19" t="s">
        <v>47</v>
      </c>
      <c r="L23" s="19" t="s">
        <v>171</v>
      </c>
      <c r="M23" s="19" t="s">
        <v>172</v>
      </c>
      <c r="N23" s="18">
        <v>40</v>
      </c>
    </row>
    <row r="24" spans="1:15" ht="32.25" customHeight="1" x14ac:dyDescent="0.35">
      <c r="A24" s="16" t="s">
        <v>173</v>
      </c>
      <c r="B24" s="16" t="s">
        <v>30</v>
      </c>
      <c r="C24" s="17" t="s">
        <v>174</v>
      </c>
      <c r="D24" s="17" t="s">
        <v>175</v>
      </c>
      <c r="E24" s="17" t="s">
        <v>176</v>
      </c>
      <c r="F24" s="16" t="s">
        <v>34</v>
      </c>
      <c r="G24" s="17" t="s">
        <v>177</v>
      </c>
      <c r="H24" s="17" t="s">
        <v>76</v>
      </c>
      <c r="I24" s="17" t="s">
        <v>46</v>
      </c>
      <c r="J24" s="16" t="s">
        <v>68</v>
      </c>
      <c r="K24" s="17" t="s">
        <v>47</v>
      </c>
      <c r="L24" s="17" t="s">
        <v>178</v>
      </c>
      <c r="M24" s="17" t="s">
        <v>179</v>
      </c>
      <c r="N24" s="16">
        <v>40</v>
      </c>
    </row>
    <row r="25" spans="1:15" ht="21.75" customHeight="1" x14ac:dyDescent="0.35">
      <c r="A25" s="18" t="s">
        <v>180</v>
      </c>
      <c r="B25" s="18" t="s">
        <v>30</v>
      </c>
      <c r="C25" s="19" t="s">
        <v>181</v>
      </c>
      <c r="D25" s="19" t="s">
        <v>182</v>
      </c>
      <c r="E25" s="19" t="s">
        <v>176</v>
      </c>
      <c r="F25" s="18" t="s">
        <v>34</v>
      </c>
      <c r="G25" s="19" t="s">
        <v>183</v>
      </c>
      <c r="H25" s="19" t="s">
        <v>184</v>
      </c>
      <c r="I25" s="19" t="s">
        <v>185</v>
      </c>
      <c r="J25" s="18" t="s">
        <v>38</v>
      </c>
      <c r="K25" s="19" t="s">
        <v>47</v>
      </c>
      <c r="L25" s="19" t="s">
        <v>186</v>
      </c>
      <c r="M25" s="19" t="s">
        <v>187</v>
      </c>
      <c r="N25" s="18">
        <v>40</v>
      </c>
    </row>
    <row r="26" spans="1:15" ht="32.25" customHeight="1" x14ac:dyDescent="0.35">
      <c r="A26" s="16" t="s">
        <v>188</v>
      </c>
      <c r="B26" s="16" t="s">
        <v>30</v>
      </c>
      <c r="C26" s="17" t="s">
        <v>189</v>
      </c>
      <c r="D26" s="17" t="s">
        <v>190</v>
      </c>
      <c r="E26" s="17" t="s">
        <v>176</v>
      </c>
      <c r="F26" s="16" t="s">
        <v>34</v>
      </c>
      <c r="G26" s="17" t="s">
        <v>191</v>
      </c>
      <c r="H26" s="17" t="s">
        <v>184</v>
      </c>
      <c r="I26" s="17" t="s">
        <v>185</v>
      </c>
      <c r="J26" s="16" t="s">
        <v>38</v>
      </c>
      <c r="K26" s="17" t="s">
        <v>47</v>
      </c>
      <c r="L26" s="17" t="s">
        <v>192</v>
      </c>
      <c r="M26" s="17" t="s">
        <v>193</v>
      </c>
      <c r="N26" s="16">
        <v>40</v>
      </c>
    </row>
    <row r="27" spans="1:15" ht="32.25" customHeight="1" x14ac:dyDescent="0.35">
      <c r="A27" s="18" t="s">
        <v>194</v>
      </c>
      <c r="B27" s="18" t="s">
        <v>30</v>
      </c>
      <c r="C27" s="19" t="s">
        <v>195</v>
      </c>
      <c r="D27" s="19" t="s">
        <v>196</v>
      </c>
      <c r="E27" s="19" t="s">
        <v>176</v>
      </c>
      <c r="F27" s="18" t="s">
        <v>34</v>
      </c>
      <c r="G27" s="19" t="s">
        <v>197</v>
      </c>
      <c r="H27" s="19" t="s">
        <v>163</v>
      </c>
      <c r="I27" s="19" t="s">
        <v>164</v>
      </c>
      <c r="J27" s="18" t="s">
        <v>38</v>
      </c>
      <c r="K27" s="19" t="s">
        <v>113</v>
      </c>
      <c r="L27" s="19" t="s">
        <v>198</v>
      </c>
      <c r="M27" s="19" t="s">
        <v>199</v>
      </c>
      <c r="N27" s="18">
        <v>40</v>
      </c>
    </row>
    <row r="28" spans="1:15" ht="21.75" customHeight="1" x14ac:dyDescent="0.35">
      <c r="A28" s="16" t="s">
        <v>200</v>
      </c>
      <c r="B28" s="16" t="s">
        <v>30</v>
      </c>
      <c r="C28" s="17" t="s">
        <v>201</v>
      </c>
      <c r="D28" s="17" t="s">
        <v>202</v>
      </c>
      <c r="E28" s="17" t="s">
        <v>203</v>
      </c>
      <c r="F28" s="16" t="s">
        <v>34</v>
      </c>
      <c r="G28" s="17" t="s">
        <v>204</v>
      </c>
      <c r="H28" s="17" t="s">
        <v>163</v>
      </c>
      <c r="I28" s="17" t="s">
        <v>46</v>
      </c>
      <c r="J28" s="16" t="s">
        <v>68</v>
      </c>
      <c r="K28" s="17" t="s">
        <v>47</v>
      </c>
      <c r="L28" s="17" t="s">
        <v>205</v>
      </c>
      <c r="M28" s="17" t="s">
        <v>206</v>
      </c>
      <c r="N28" s="16">
        <v>40</v>
      </c>
    </row>
    <row r="29" spans="1:15" ht="21.75" customHeight="1" x14ac:dyDescent="0.35">
      <c r="A29" s="18" t="s">
        <v>207</v>
      </c>
      <c r="B29" s="18" t="s">
        <v>30</v>
      </c>
      <c r="C29" s="19" t="s">
        <v>208</v>
      </c>
      <c r="D29" s="19" t="s">
        <v>209</v>
      </c>
      <c r="E29" s="19" t="s">
        <v>210</v>
      </c>
      <c r="F29" s="20" t="s">
        <v>53</v>
      </c>
      <c r="G29" s="19" t="s">
        <v>211</v>
      </c>
      <c r="H29" s="19" t="s">
        <v>120</v>
      </c>
      <c r="I29" s="19" t="s">
        <v>46</v>
      </c>
      <c r="J29" s="18" t="s">
        <v>38</v>
      </c>
      <c r="K29" s="19" t="s">
        <v>55</v>
      </c>
      <c r="L29" s="19" t="s">
        <v>212</v>
      </c>
      <c r="M29" s="19" t="s">
        <v>213</v>
      </c>
      <c r="N29" s="18">
        <v>35</v>
      </c>
    </row>
    <row r="30" spans="1:15" ht="32.25" customHeight="1" x14ac:dyDescent="0.35">
      <c r="A30" s="16" t="s">
        <v>214</v>
      </c>
      <c r="B30" s="16" t="s">
        <v>30</v>
      </c>
      <c r="C30" s="17" t="s">
        <v>215</v>
      </c>
      <c r="D30" s="17" t="s">
        <v>216</v>
      </c>
      <c r="E30" s="17" t="s">
        <v>210</v>
      </c>
      <c r="F30" s="16" t="s">
        <v>34</v>
      </c>
      <c r="G30" s="17" t="s">
        <v>217</v>
      </c>
      <c r="H30" s="17" t="s">
        <v>218</v>
      </c>
      <c r="I30" s="17" t="s">
        <v>219</v>
      </c>
      <c r="J30" s="16" t="s">
        <v>68</v>
      </c>
      <c r="K30" s="17" t="s">
        <v>47</v>
      </c>
      <c r="L30" s="17" t="s">
        <v>220</v>
      </c>
      <c r="M30" s="17" t="s">
        <v>221</v>
      </c>
      <c r="N30" s="16">
        <v>50</v>
      </c>
    </row>
    <row r="31" spans="1:15" ht="42.75" customHeight="1" x14ac:dyDescent="0.35">
      <c r="A31" s="18" t="s">
        <v>222</v>
      </c>
      <c r="B31" s="18" t="s">
        <v>30</v>
      </c>
      <c r="C31" s="19" t="s">
        <v>223</v>
      </c>
      <c r="D31" s="19" t="s">
        <v>224</v>
      </c>
      <c r="E31" s="19" t="s">
        <v>225</v>
      </c>
      <c r="F31" s="18" t="s">
        <v>34</v>
      </c>
      <c r="G31" s="19" t="s">
        <v>226</v>
      </c>
      <c r="H31" s="19" t="s">
        <v>218</v>
      </c>
      <c r="I31" s="19" t="s">
        <v>227</v>
      </c>
      <c r="J31" s="18" t="s">
        <v>38</v>
      </c>
      <c r="K31" s="19" t="s">
        <v>78</v>
      </c>
      <c r="L31" s="19" t="s">
        <v>228</v>
      </c>
      <c r="M31" s="19" t="s">
        <v>229</v>
      </c>
      <c r="N31" s="18">
        <v>40</v>
      </c>
    </row>
    <row r="32" spans="1:15" ht="32.25" customHeight="1" x14ac:dyDescent="0.35">
      <c r="A32" s="16" t="s">
        <v>230</v>
      </c>
      <c r="B32" s="16" t="s">
        <v>30</v>
      </c>
      <c r="C32" s="17" t="s">
        <v>231</v>
      </c>
      <c r="D32" s="17" t="s">
        <v>232</v>
      </c>
      <c r="E32" s="17" t="s">
        <v>233</v>
      </c>
      <c r="F32" s="16" t="s">
        <v>34</v>
      </c>
      <c r="G32" s="17" t="s">
        <v>234</v>
      </c>
      <c r="H32" s="17" t="s">
        <v>163</v>
      </c>
      <c r="I32" s="17" t="s">
        <v>46</v>
      </c>
      <c r="J32" s="16" t="s">
        <v>68</v>
      </c>
      <c r="K32" s="17" t="s">
        <v>47</v>
      </c>
      <c r="L32" s="17" t="s">
        <v>235</v>
      </c>
      <c r="M32" s="17" t="s">
        <v>236</v>
      </c>
      <c r="N32" s="16">
        <v>40</v>
      </c>
    </row>
    <row r="33" spans="1:14" ht="21.75" customHeight="1" x14ac:dyDescent="0.35">
      <c r="A33" s="18" t="s">
        <v>237</v>
      </c>
      <c r="B33" s="18" t="s">
        <v>30</v>
      </c>
      <c r="C33" s="19" t="s">
        <v>238</v>
      </c>
      <c r="D33" s="19" t="s">
        <v>239</v>
      </c>
      <c r="E33" s="19" t="s">
        <v>240</v>
      </c>
      <c r="F33" s="18" t="s">
        <v>34</v>
      </c>
      <c r="G33" s="19" t="s">
        <v>241</v>
      </c>
      <c r="H33" s="19" t="s">
        <v>242</v>
      </c>
      <c r="I33" s="19" t="s">
        <v>243</v>
      </c>
      <c r="J33" s="18" t="s">
        <v>38</v>
      </c>
      <c r="K33" s="19" t="s">
        <v>113</v>
      </c>
      <c r="L33" s="19" t="s">
        <v>244</v>
      </c>
      <c r="M33" s="19" t="s">
        <v>245</v>
      </c>
      <c r="N33" s="18">
        <v>40</v>
      </c>
    </row>
    <row r="34" spans="1:14" ht="21.75" customHeight="1" x14ac:dyDescent="0.35">
      <c r="A34" s="16" t="s">
        <v>246</v>
      </c>
      <c r="B34" s="16" t="s">
        <v>30</v>
      </c>
      <c r="C34" s="17" t="s">
        <v>247</v>
      </c>
      <c r="D34" s="17" t="s">
        <v>248</v>
      </c>
      <c r="E34" s="17" t="s">
        <v>249</v>
      </c>
      <c r="F34" s="16" t="s">
        <v>34</v>
      </c>
      <c r="G34" s="17" t="s">
        <v>250</v>
      </c>
      <c r="H34" s="17" t="s">
        <v>251</v>
      </c>
      <c r="I34" s="17" t="s">
        <v>252</v>
      </c>
      <c r="J34" s="16" t="s">
        <v>68</v>
      </c>
      <c r="K34" s="17" t="s">
        <v>47</v>
      </c>
      <c r="L34" s="17" t="s">
        <v>253</v>
      </c>
      <c r="M34" s="17" t="s">
        <v>254</v>
      </c>
      <c r="N34" s="16">
        <v>50</v>
      </c>
    </row>
    <row r="35" spans="1:14" ht="32.25" customHeight="1" x14ac:dyDescent="0.35">
      <c r="A35" s="18" t="s">
        <v>255</v>
      </c>
      <c r="B35" s="18" t="s">
        <v>30</v>
      </c>
      <c r="C35" s="19" t="s">
        <v>256</v>
      </c>
      <c r="D35" s="19" t="s">
        <v>257</v>
      </c>
      <c r="E35" s="19" t="s">
        <v>249</v>
      </c>
      <c r="F35" s="20" t="s">
        <v>53</v>
      </c>
      <c r="G35" s="19" t="s">
        <v>258</v>
      </c>
      <c r="H35" s="19" t="s">
        <v>120</v>
      </c>
      <c r="I35" s="19" t="s">
        <v>46</v>
      </c>
      <c r="J35" s="18" t="s">
        <v>68</v>
      </c>
      <c r="K35" s="19" t="s">
        <v>47</v>
      </c>
      <c r="L35" s="19" t="s">
        <v>259</v>
      </c>
      <c r="M35" s="19" t="s">
        <v>260</v>
      </c>
      <c r="N35" s="18">
        <v>40</v>
      </c>
    </row>
    <row r="36" spans="1:14" ht="21.75" customHeight="1" x14ac:dyDescent="0.35">
      <c r="A36" s="16" t="s">
        <v>261</v>
      </c>
      <c r="B36" s="16" t="s">
        <v>30</v>
      </c>
      <c r="C36" s="17" t="s">
        <v>262</v>
      </c>
      <c r="D36" s="17" t="s">
        <v>263</v>
      </c>
      <c r="E36" s="17" t="s">
        <v>264</v>
      </c>
      <c r="F36" s="16" t="s">
        <v>34</v>
      </c>
      <c r="G36" s="17" t="s">
        <v>265</v>
      </c>
      <c r="H36" s="17" t="s">
        <v>266</v>
      </c>
      <c r="I36" s="17" t="s">
        <v>267</v>
      </c>
      <c r="J36" s="16" t="s">
        <v>68</v>
      </c>
      <c r="K36" s="17" t="s">
        <v>47</v>
      </c>
      <c r="L36" s="17" t="s">
        <v>268</v>
      </c>
      <c r="M36" s="17" t="s">
        <v>269</v>
      </c>
      <c r="N36" s="16">
        <v>40</v>
      </c>
    </row>
    <row r="37" spans="1:14" ht="32.25" customHeight="1" x14ac:dyDescent="0.35">
      <c r="A37" s="18" t="s">
        <v>270</v>
      </c>
      <c r="B37" s="18" t="s">
        <v>30</v>
      </c>
      <c r="C37" s="19" t="s">
        <v>271</v>
      </c>
      <c r="D37" s="19" t="s">
        <v>272</v>
      </c>
      <c r="E37" s="19" t="s">
        <v>264</v>
      </c>
      <c r="F37" s="18" t="s">
        <v>34</v>
      </c>
      <c r="G37" s="19" t="s">
        <v>273</v>
      </c>
      <c r="H37" s="19" t="s">
        <v>266</v>
      </c>
      <c r="I37" s="19" t="s">
        <v>267</v>
      </c>
      <c r="J37" s="18" t="s">
        <v>38</v>
      </c>
      <c r="K37" s="19" t="s">
        <v>55</v>
      </c>
      <c r="L37" s="19" t="s">
        <v>274</v>
      </c>
      <c r="M37" s="112" t="s">
        <v>275</v>
      </c>
      <c r="N37" s="18">
        <v>30</v>
      </c>
    </row>
    <row r="38" spans="1:14" ht="74.25" customHeight="1" x14ac:dyDescent="0.35">
      <c r="A38" s="16" t="s">
        <v>276</v>
      </c>
      <c r="B38" s="16" t="s">
        <v>30</v>
      </c>
      <c r="C38" s="17" t="s">
        <v>277</v>
      </c>
      <c r="D38" s="17" t="s">
        <v>278</v>
      </c>
      <c r="E38" s="17" t="s">
        <v>264</v>
      </c>
      <c r="F38" s="20" t="s">
        <v>53</v>
      </c>
      <c r="G38" s="17" t="s">
        <v>279</v>
      </c>
      <c r="H38" s="17" t="s">
        <v>266</v>
      </c>
      <c r="I38" s="17" t="s">
        <v>267</v>
      </c>
      <c r="J38" s="16" t="s">
        <v>68</v>
      </c>
      <c r="K38" s="17" t="s">
        <v>47</v>
      </c>
      <c r="L38" s="17" t="s">
        <v>280</v>
      </c>
      <c r="M38" s="113" t="s">
        <v>281</v>
      </c>
      <c r="N38" s="16">
        <v>50</v>
      </c>
    </row>
    <row r="39" spans="1:14" ht="21.75" customHeight="1" x14ac:dyDescent="0.35">
      <c r="A39" s="18" t="s">
        <v>282</v>
      </c>
      <c r="B39" s="18" t="s">
        <v>30</v>
      </c>
      <c r="C39" s="19" t="s">
        <v>283</v>
      </c>
      <c r="D39" s="19" t="s">
        <v>284</v>
      </c>
      <c r="E39" s="19" t="s">
        <v>285</v>
      </c>
      <c r="F39" s="18" t="s">
        <v>34</v>
      </c>
      <c r="G39" s="19" t="s">
        <v>286</v>
      </c>
      <c r="H39" s="19" t="s">
        <v>163</v>
      </c>
      <c r="I39" s="19" t="s">
        <v>46</v>
      </c>
      <c r="J39" s="18" t="s">
        <v>68</v>
      </c>
      <c r="K39" s="19" t="s">
        <v>47</v>
      </c>
      <c r="L39" s="19" t="s">
        <v>287</v>
      </c>
      <c r="M39" s="19" t="s">
        <v>288</v>
      </c>
      <c r="N39" s="18">
        <v>50</v>
      </c>
    </row>
    <row r="40" spans="1:14" ht="21.75" customHeight="1" x14ac:dyDescent="0.35">
      <c r="A40" s="16" t="s">
        <v>289</v>
      </c>
      <c r="B40" s="16" t="s">
        <v>30</v>
      </c>
      <c r="C40" s="17" t="s">
        <v>290</v>
      </c>
      <c r="D40" s="17" t="s">
        <v>291</v>
      </c>
      <c r="E40" s="17" t="s">
        <v>292</v>
      </c>
      <c r="F40" s="16" t="s">
        <v>34</v>
      </c>
      <c r="G40" s="17" t="s">
        <v>293</v>
      </c>
      <c r="H40" s="17" t="s">
        <v>163</v>
      </c>
      <c r="I40" s="17" t="s">
        <v>46</v>
      </c>
      <c r="J40" s="16" t="s">
        <v>68</v>
      </c>
      <c r="K40" s="17" t="s">
        <v>47</v>
      </c>
      <c r="L40" s="17" t="s">
        <v>294</v>
      </c>
      <c r="M40" s="17" t="s">
        <v>295</v>
      </c>
      <c r="N40" s="16">
        <v>50</v>
      </c>
    </row>
    <row r="41" spans="1:14" ht="32.25" customHeight="1" x14ac:dyDescent="0.35">
      <c r="A41" s="115" t="s">
        <v>296</v>
      </c>
      <c r="B41" s="115" t="s">
        <v>30</v>
      </c>
      <c r="C41" s="112" t="s">
        <v>297</v>
      </c>
      <c r="D41" s="112" t="s">
        <v>298</v>
      </c>
      <c r="E41" s="112" t="s">
        <v>292</v>
      </c>
      <c r="F41" s="115" t="s">
        <v>34</v>
      </c>
      <c r="G41" s="112" t="s">
        <v>299</v>
      </c>
      <c r="H41" s="112" t="s">
        <v>300</v>
      </c>
      <c r="I41" s="112" t="s">
        <v>301</v>
      </c>
      <c r="J41" s="115" t="s">
        <v>68</v>
      </c>
      <c r="K41" s="112" t="s">
        <v>302</v>
      </c>
      <c r="L41" s="112" t="s">
        <v>303</v>
      </c>
      <c r="M41" s="112" t="s">
        <v>304</v>
      </c>
      <c r="N41" s="115">
        <v>40</v>
      </c>
    </row>
    <row r="42" spans="1:14" ht="32.25" customHeight="1" x14ac:dyDescent="0.35">
      <c r="A42" s="114" t="s">
        <v>305</v>
      </c>
      <c r="B42" s="114" t="s">
        <v>30</v>
      </c>
      <c r="C42" s="113" t="s">
        <v>306</v>
      </c>
      <c r="D42" s="113" t="s">
        <v>307</v>
      </c>
      <c r="E42" s="113" t="s">
        <v>74</v>
      </c>
      <c r="F42" s="114" t="s">
        <v>34</v>
      </c>
      <c r="G42" s="113" t="s">
        <v>308</v>
      </c>
      <c r="H42" s="113" t="s">
        <v>309</v>
      </c>
      <c r="I42" s="113" t="s">
        <v>310</v>
      </c>
      <c r="J42" s="114" t="s">
        <v>68</v>
      </c>
      <c r="K42" s="113" t="s">
        <v>113</v>
      </c>
      <c r="L42" s="113" t="s">
        <v>311</v>
      </c>
      <c r="M42" s="113" t="s">
        <v>312</v>
      </c>
      <c r="N42" s="114">
        <v>50</v>
      </c>
    </row>
    <row r="43" spans="1:14" ht="21.75" customHeight="1" x14ac:dyDescent="0.35">
      <c r="A43" s="115" t="s">
        <v>313</v>
      </c>
      <c r="B43" s="115" t="s">
        <v>30</v>
      </c>
      <c r="C43" s="112" t="s">
        <v>314</v>
      </c>
      <c r="D43" s="112" t="s">
        <v>315</v>
      </c>
      <c r="E43" s="112" t="s">
        <v>74</v>
      </c>
      <c r="F43" s="115" t="s">
        <v>34</v>
      </c>
      <c r="G43" s="112" t="s">
        <v>316</v>
      </c>
      <c r="H43" s="112" t="s">
        <v>309</v>
      </c>
      <c r="I43" s="112" t="s">
        <v>310</v>
      </c>
      <c r="J43" s="115" t="s">
        <v>68</v>
      </c>
      <c r="K43" s="112" t="s">
        <v>113</v>
      </c>
      <c r="L43" s="112" t="s">
        <v>317</v>
      </c>
      <c r="M43" s="112" t="s">
        <v>312</v>
      </c>
      <c r="N43" s="115">
        <v>50</v>
      </c>
    </row>
    <row r="44" spans="1:14" ht="21.75" customHeight="1" x14ac:dyDescent="0.35">
      <c r="A44" s="114" t="s">
        <v>318</v>
      </c>
      <c r="B44" s="114" t="s">
        <v>30</v>
      </c>
      <c r="C44" s="113" t="s">
        <v>319</v>
      </c>
      <c r="D44" s="113" t="s">
        <v>320</v>
      </c>
      <c r="E44" s="113" t="s">
        <v>321</v>
      </c>
      <c r="F44" s="114" t="s">
        <v>34</v>
      </c>
      <c r="G44" s="113" t="s">
        <v>322</v>
      </c>
      <c r="H44" s="113" t="s">
        <v>323</v>
      </c>
      <c r="I44" s="113" t="s">
        <v>324</v>
      </c>
      <c r="J44" s="114" t="s">
        <v>38</v>
      </c>
      <c r="K44" s="113" t="s">
        <v>325</v>
      </c>
      <c r="L44" s="113" t="s">
        <v>326</v>
      </c>
      <c r="M44" s="113" t="s">
        <v>327</v>
      </c>
      <c r="N44" s="114">
        <v>40</v>
      </c>
    </row>
    <row r="45" spans="1:14" ht="21.75" customHeight="1" x14ac:dyDescent="0.35">
      <c r="A45" s="115" t="s">
        <v>328</v>
      </c>
      <c r="B45" s="115" t="s">
        <v>30</v>
      </c>
      <c r="C45" s="112" t="s">
        <v>329</v>
      </c>
      <c r="D45" s="112" t="s">
        <v>330</v>
      </c>
      <c r="E45" s="112" t="s">
        <v>321</v>
      </c>
      <c r="F45" s="115" t="s">
        <v>34</v>
      </c>
      <c r="G45" s="112" t="s">
        <v>331</v>
      </c>
      <c r="H45" s="112" t="s">
        <v>323</v>
      </c>
      <c r="I45" s="112" t="s">
        <v>324</v>
      </c>
      <c r="J45" s="115" t="s">
        <v>38</v>
      </c>
      <c r="K45" s="112" t="s">
        <v>325</v>
      </c>
      <c r="L45" s="112" t="s">
        <v>332</v>
      </c>
      <c r="M45" s="112" t="s">
        <v>333</v>
      </c>
      <c r="N45" s="115">
        <v>40</v>
      </c>
    </row>
    <row r="46" spans="1:14" ht="21.75" customHeight="1" x14ac:dyDescent="0.35">
      <c r="A46" s="114" t="s">
        <v>334</v>
      </c>
      <c r="B46" s="114" t="s">
        <v>30</v>
      </c>
      <c r="C46" s="113" t="s">
        <v>335</v>
      </c>
      <c r="D46" s="113" t="s">
        <v>336</v>
      </c>
      <c r="E46" s="113" t="s">
        <v>84</v>
      </c>
      <c r="F46" s="114" t="s">
        <v>34</v>
      </c>
      <c r="G46" s="113" t="s">
        <v>337</v>
      </c>
      <c r="H46" s="113" t="s">
        <v>323</v>
      </c>
      <c r="I46" s="113" t="s">
        <v>324</v>
      </c>
      <c r="J46" s="114" t="s">
        <v>38</v>
      </c>
      <c r="K46" s="113" t="s">
        <v>325</v>
      </c>
      <c r="L46" s="113" t="s">
        <v>338</v>
      </c>
      <c r="M46" s="113" t="s">
        <v>339</v>
      </c>
      <c r="N46" s="114">
        <v>40</v>
      </c>
    </row>
  </sheetData>
  <mergeCells count="1">
    <mergeCell ref="A1:N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8" customWidth="1"/>
    <col min="2" max="2" width="26" customWidth="1"/>
    <col min="3" max="3" width="10" customWidth="1"/>
    <col min="4" max="4" width="30" customWidth="1"/>
    <col min="5" max="5" width="34" customWidth="1"/>
    <col min="6" max="6" width="42" customWidth="1"/>
    <col min="7" max="7" width="9" customWidth="1"/>
    <col min="8" max="9" width="34" customWidth="1"/>
  </cols>
  <sheetData>
    <row r="1" spans="1:9" ht="30" customHeight="1" x14ac:dyDescent="0.35">
      <c r="A1" s="14" t="s">
        <v>340</v>
      </c>
      <c r="B1" s="14"/>
      <c r="C1" s="14"/>
      <c r="D1" s="14"/>
      <c r="E1" s="14"/>
      <c r="F1" s="14"/>
      <c r="G1" s="14"/>
      <c r="H1" s="14"/>
      <c r="I1" s="14"/>
    </row>
    <row r="2" spans="1:9" ht="25.5" customHeight="1" x14ac:dyDescent="0.35">
      <c r="A2" s="13" t="s">
        <v>341</v>
      </c>
      <c r="B2" s="13"/>
      <c r="C2" s="13"/>
      <c r="D2" s="13"/>
      <c r="E2" s="13"/>
      <c r="F2" s="13"/>
      <c r="G2" s="13"/>
      <c r="H2" s="13"/>
      <c r="I2" s="13"/>
    </row>
    <row r="4" spans="1:9" ht="37.5" customHeight="1" x14ac:dyDescent="0.35">
      <c r="A4" s="15" t="s">
        <v>15</v>
      </c>
      <c r="B4" s="15" t="s">
        <v>17</v>
      </c>
      <c r="C4" s="15" t="s">
        <v>16</v>
      </c>
      <c r="D4" s="15" t="s">
        <v>342</v>
      </c>
      <c r="E4" s="15" t="s">
        <v>343</v>
      </c>
      <c r="F4" s="15" t="s">
        <v>344</v>
      </c>
      <c r="G4" s="15" t="s">
        <v>28</v>
      </c>
      <c r="H4" s="15" t="s">
        <v>345</v>
      </c>
      <c r="I4" s="15" t="s">
        <v>346</v>
      </c>
    </row>
    <row r="5" spans="1:9" ht="32.25" customHeight="1" x14ac:dyDescent="0.35">
      <c r="A5" s="16" t="s">
        <v>29</v>
      </c>
      <c r="B5" s="17" t="s">
        <v>31</v>
      </c>
      <c r="C5" s="16" t="s">
        <v>30</v>
      </c>
      <c r="D5" s="17" t="s">
        <v>35</v>
      </c>
      <c r="E5" s="17" t="s">
        <v>40</v>
      </c>
      <c r="F5" s="17" t="s">
        <v>41</v>
      </c>
      <c r="G5" s="21">
        <f>INDEX('Indicator Master'!$N$4:$N$46,MATCH($A5,'Indicator Master'!$A$4:$A$46,0))</f>
        <v>30</v>
      </c>
      <c r="H5" s="17" t="s">
        <v>347</v>
      </c>
      <c r="I5" s="17" t="s">
        <v>348</v>
      </c>
    </row>
    <row r="6" spans="1:9" ht="32.25" customHeight="1" x14ac:dyDescent="0.35">
      <c r="A6" s="18" t="s">
        <v>42</v>
      </c>
      <c r="B6" s="19" t="s">
        <v>43</v>
      </c>
      <c r="C6" s="18" t="s">
        <v>30</v>
      </c>
      <c r="D6" s="19" t="s">
        <v>45</v>
      </c>
      <c r="E6" s="19" t="s">
        <v>48</v>
      </c>
      <c r="F6" s="19" t="s">
        <v>49</v>
      </c>
      <c r="G6" s="22">
        <f>INDEX('Indicator Master'!$N$4:$N$46,MATCH($A6,'Indicator Master'!$A$4:$A$46,0))</f>
        <v>30</v>
      </c>
      <c r="H6" s="19" t="s">
        <v>347</v>
      </c>
      <c r="I6" s="19" t="s">
        <v>348</v>
      </c>
    </row>
    <row r="7" spans="1:9" ht="32.25" customHeight="1" x14ac:dyDescent="0.35">
      <c r="A7" s="16" t="s">
        <v>50</v>
      </c>
      <c r="B7" s="17" t="s">
        <v>51</v>
      </c>
      <c r="C7" s="16" t="s">
        <v>30</v>
      </c>
      <c r="D7" s="17" t="s">
        <v>54</v>
      </c>
      <c r="E7" s="17" t="s">
        <v>56</v>
      </c>
      <c r="F7" s="17" t="s">
        <v>57</v>
      </c>
      <c r="G7" s="21">
        <f>INDEX('Indicator Master'!$N$4:$N$46,MATCH($A7,'Indicator Master'!$A$4:$A$46,0))</f>
        <v>35</v>
      </c>
      <c r="H7" s="17" t="s">
        <v>347</v>
      </c>
      <c r="I7" s="17" t="s">
        <v>348</v>
      </c>
    </row>
    <row r="8" spans="1:9" ht="32.25" customHeight="1" x14ac:dyDescent="0.35">
      <c r="A8" s="18" t="s">
        <v>58</v>
      </c>
      <c r="B8" s="19" t="s">
        <v>59</v>
      </c>
      <c r="C8" s="18" t="s">
        <v>30</v>
      </c>
      <c r="D8" s="19" t="s">
        <v>61</v>
      </c>
      <c r="E8" s="19" t="s">
        <v>62</v>
      </c>
      <c r="F8" s="19" t="s">
        <v>63</v>
      </c>
      <c r="G8" s="22">
        <f>INDEX('Indicator Master'!$N$4:$N$46,MATCH($A8,'Indicator Master'!$A$4:$A$46,0))</f>
        <v>25</v>
      </c>
      <c r="H8" s="19" t="s">
        <v>347</v>
      </c>
      <c r="I8" s="19" t="s">
        <v>348</v>
      </c>
    </row>
    <row r="9" spans="1:9" ht="32.25" customHeight="1" x14ac:dyDescent="0.35">
      <c r="A9" s="16" t="s">
        <v>64</v>
      </c>
      <c r="B9" s="17" t="s">
        <v>65</v>
      </c>
      <c r="C9" s="16" t="s">
        <v>30</v>
      </c>
      <c r="D9" s="17" t="s">
        <v>67</v>
      </c>
      <c r="E9" s="17" t="s">
        <v>69</v>
      </c>
      <c r="F9" s="17" t="s">
        <v>70</v>
      </c>
      <c r="G9" s="21">
        <f>INDEX('Indicator Master'!$N$4:$N$46,MATCH($A9,'Indicator Master'!$A$4:$A$46,0))</f>
        <v>40</v>
      </c>
      <c r="H9" s="17" t="s">
        <v>347</v>
      </c>
      <c r="I9" s="17" t="s">
        <v>348</v>
      </c>
    </row>
    <row r="10" spans="1:9" ht="32.25" customHeight="1" x14ac:dyDescent="0.35">
      <c r="A10" s="18" t="s">
        <v>71</v>
      </c>
      <c r="B10" s="19" t="s">
        <v>72</v>
      </c>
      <c r="C10" s="18" t="s">
        <v>30</v>
      </c>
      <c r="D10" s="19" t="s">
        <v>75</v>
      </c>
      <c r="E10" s="19" t="s">
        <v>79</v>
      </c>
      <c r="F10" s="19" t="s">
        <v>80</v>
      </c>
      <c r="G10" s="22">
        <f>INDEX('Indicator Master'!$N$4:$N$46,MATCH($A10,'Indicator Master'!$A$4:$A$46,0))</f>
        <v>30</v>
      </c>
      <c r="H10" s="19" t="s">
        <v>347</v>
      </c>
      <c r="I10" s="19" t="s">
        <v>348</v>
      </c>
    </row>
    <row r="11" spans="1:9" ht="32.25" customHeight="1" x14ac:dyDescent="0.35">
      <c r="A11" s="16" t="s">
        <v>81</v>
      </c>
      <c r="B11" s="17" t="s">
        <v>82</v>
      </c>
      <c r="C11" s="16" t="s">
        <v>30</v>
      </c>
      <c r="D11" s="17" t="s">
        <v>85</v>
      </c>
      <c r="E11" s="17" t="s">
        <v>86</v>
      </c>
      <c r="F11" s="17" t="s">
        <v>57</v>
      </c>
      <c r="G11" s="21">
        <f>INDEX('Indicator Master'!$N$4:$N$46,MATCH($A11,'Indicator Master'!$A$4:$A$46,0))</f>
        <v>35</v>
      </c>
      <c r="H11" s="17" t="s">
        <v>347</v>
      </c>
      <c r="I11" s="17" t="s">
        <v>348</v>
      </c>
    </row>
    <row r="12" spans="1:9" ht="32.25" customHeight="1" x14ac:dyDescent="0.35">
      <c r="A12" s="18" t="s">
        <v>87</v>
      </c>
      <c r="B12" s="19" t="s">
        <v>88</v>
      </c>
      <c r="C12" s="18" t="s">
        <v>30</v>
      </c>
      <c r="D12" s="19" t="s">
        <v>90</v>
      </c>
      <c r="E12" s="19" t="s">
        <v>91</v>
      </c>
      <c r="F12" s="19" t="s">
        <v>57</v>
      </c>
      <c r="G12" s="22">
        <f>INDEX('Indicator Master'!$N$4:$N$46,MATCH($A12,'Indicator Master'!$A$4:$A$46,0))</f>
        <v>35</v>
      </c>
      <c r="H12" s="19" t="s">
        <v>347</v>
      </c>
      <c r="I12" s="19" t="s">
        <v>348</v>
      </c>
    </row>
    <row r="13" spans="1:9" ht="32.25" customHeight="1" x14ac:dyDescent="0.35">
      <c r="A13" s="16" t="s">
        <v>92</v>
      </c>
      <c r="B13" s="17" t="s">
        <v>93</v>
      </c>
      <c r="C13" s="16" t="s">
        <v>30</v>
      </c>
      <c r="D13" s="17" t="s">
        <v>95</v>
      </c>
      <c r="E13" s="17" t="s">
        <v>96</v>
      </c>
      <c r="F13" s="17" t="s">
        <v>97</v>
      </c>
      <c r="G13" s="21">
        <f>INDEX('Indicator Master'!$N$4:$N$46,MATCH($A13,'Indicator Master'!$A$4:$A$46,0))</f>
        <v>30</v>
      </c>
      <c r="H13" s="17" t="s">
        <v>347</v>
      </c>
      <c r="I13" s="17" t="s">
        <v>348</v>
      </c>
    </row>
    <row r="14" spans="1:9" ht="32.25" customHeight="1" x14ac:dyDescent="0.35">
      <c r="A14" s="18" t="s">
        <v>98</v>
      </c>
      <c r="B14" s="19" t="s">
        <v>99</v>
      </c>
      <c r="C14" s="18" t="s">
        <v>30</v>
      </c>
      <c r="D14" s="19" t="s">
        <v>101</v>
      </c>
      <c r="E14" s="19" t="s">
        <v>102</v>
      </c>
      <c r="F14" s="19" t="s">
        <v>103</v>
      </c>
      <c r="G14" s="22">
        <f>INDEX('Indicator Master'!$N$4:$N$46,MATCH($A14,'Indicator Master'!$A$4:$A$46,0))</f>
        <v>30</v>
      </c>
      <c r="H14" s="19" t="s">
        <v>347</v>
      </c>
      <c r="I14" s="19" t="s">
        <v>348</v>
      </c>
    </row>
    <row r="15" spans="1:9" ht="32.25" customHeight="1" x14ac:dyDescent="0.35">
      <c r="A15" s="16" t="s">
        <v>104</v>
      </c>
      <c r="B15" s="17" t="s">
        <v>105</v>
      </c>
      <c r="C15" s="16" t="s">
        <v>30</v>
      </c>
      <c r="D15" s="17" t="s">
        <v>107</v>
      </c>
      <c r="E15" s="17" t="s">
        <v>108</v>
      </c>
      <c r="F15" s="17" t="s">
        <v>103</v>
      </c>
      <c r="G15" s="21">
        <f>INDEX('Indicator Master'!$N$4:$N$46,MATCH($A15,'Indicator Master'!$A$4:$A$46,0))</f>
        <v>30</v>
      </c>
      <c r="H15" s="17" t="s">
        <v>347</v>
      </c>
      <c r="I15" s="17" t="s">
        <v>348</v>
      </c>
    </row>
    <row r="16" spans="1:9" ht="32.25" customHeight="1" x14ac:dyDescent="0.35">
      <c r="A16" s="18" t="s">
        <v>109</v>
      </c>
      <c r="B16" s="19" t="s">
        <v>110</v>
      </c>
      <c r="C16" s="18" t="s">
        <v>30</v>
      </c>
      <c r="D16" s="19" t="s">
        <v>112</v>
      </c>
      <c r="E16" s="19" t="s">
        <v>114</v>
      </c>
      <c r="F16" s="19" t="s">
        <v>115</v>
      </c>
      <c r="G16" s="22">
        <f>INDEX('Indicator Master'!$N$4:$N$46,MATCH($A16,'Indicator Master'!$A$4:$A$46,0))</f>
        <v>40</v>
      </c>
      <c r="H16" s="19" t="s">
        <v>347</v>
      </c>
      <c r="I16" s="19" t="s">
        <v>348</v>
      </c>
    </row>
    <row r="17" spans="1:9" ht="32.25" customHeight="1" x14ac:dyDescent="0.35">
      <c r="A17" s="16" t="s">
        <v>116</v>
      </c>
      <c r="B17" s="17" t="s">
        <v>117</v>
      </c>
      <c r="C17" s="16" t="s">
        <v>30</v>
      </c>
      <c r="D17" s="17" t="s">
        <v>119</v>
      </c>
      <c r="E17" s="17" t="s">
        <v>121</v>
      </c>
      <c r="F17" s="17" t="s">
        <v>122</v>
      </c>
      <c r="G17" s="21">
        <f>INDEX('Indicator Master'!$N$4:$N$46,MATCH($A17,'Indicator Master'!$A$4:$A$46,0))</f>
        <v>35</v>
      </c>
      <c r="H17" s="17" t="s">
        <v>347</v>
      </c>
      <c r="I17" s="17" t="s">
        <v>348</v>
      </c>
    </row>
    <row r="18" spans="1:9" ht="32.25" customHeight="1" x14ac:dyDescent="0.35">
      <c r="A18" s="18" t="s">
        <v>123</v>
      </c>
      <c r="B18" s="19" t="s">
        <v>124</v>
      </c>
      <c r="C18" s="18" t="s">
        <v>30</v>
      </c>
      <c r="D18" s="19" t="s">
        <v>126</v>
      </c>
      <c r="E18" s="19" t="s">
        <v>127</v>
      </c>
      <c r="F18" s="19" t="s">
        <v>128</v>
      </c>
      <c r="G18" s="22">
        <f>INDEX('Indicator Master'!$N$4:$N$46,MATCH($A18,'Indicator Master'!$A$4:$A$46,0))</f>
        <v>35</v>
      </c>
      <c r="H18" s="19" t="s">
        <v>347</v>
      </c>
      <c r="I18" s="19" t="s">
        <v>348</v>
      </c>
    </row>
    <row r="19" spans="1:9" ht="32.25" customHeight="1" x14ac:dyDescent="0.35">
      <c r="A19" s="16" t="s">
        <v>129</v>
      </c>
      <c r="B19" s="17" t="s">
        <v>130</v>
      </c>
      <c r="C19" s="16" t="s">
        <v>30</v>
      </c>
      <c r="D19" s="17" t="s">
        <v>132</v>
      </c>
      <c r="E19" s="17" t="s">
        <v>133</v>
      </c>
      <c r="F19" s="17" t="s">
        <v>134</v>
      </c>
      <c r="G19" s="21">
        <f>INDEX('Indicator Master'!$N$4:$N$46,MATCH($A19,'Indicator Master'!$A$4:$A$46,0))</f>
        <v>40</v>
      </c>
      <c r="H19" s="17" t="s">
        <v>347</v>
      </c>
      <c r="I19" s="17" t="s">
        <v>348</v>
      </c>
    </row>
    <row r="20" spans="1:9" ht="32.25" customHeight="1" x14ac:dyDescent="0.35">
      <c r="A20" s="18" t="s">
        <v>135</v>
      </c>
      <c r="B20" s="19" t="s">
        <v>136</v>
      </c>
      <c r="C20" s="18" t="s">
        <v>30</v>
      </c>
      <c r="D20" s="19" t="s">
        <v>139</v>
      </c>
      <c r="E20" s="19" t="s">
        <v>142</v>
      </c>
      <c r="F20" s="19" t="s">
        <v>143</v>
      </c>
      <c r="G20" s="22">
        <f>INDEX('Indicator Master'!$N$4:$N$46,MATCH($A20,'Indicator Master'!$A$4:$A$46,0))</f>
        <v>50</v>
      </c>
      <c r="H20" s="19" t="s">
        <v>347</v>
      </c>
      <c r="I20" s="19" t="s">
        <v>348</v>
      </c>
    </row>
    <row r="21" spans="1:9" ht="32.25" customHeight="1" x14ac:dyDescent="0.35">
      <c r="A21" s="16" t="s">
        <v>144</v>
      </c>
      <c r="B21" s="17" t="s">
        <v>145</v>
      </c>
      <c r="C21" s="16" t="s">
        <v>30</v>
      </c>
      <c r="D21" s="17" t="s">
        <v>147</v>
      </c>
      <c r="E21" s="17" t="s">
        <v>148</v>
      </c>
      <c r="F21" s="17" t="s">
        <v>143</v>
      </c>
      <c r="G21" s="21">
        <f>INDEX('Indicator Master'!$N$4:$N$46,MATCH($A21,'Indicator Master'!$A$4:$A$46,0))</f>
        <v>50</v>
      </c>
      <c r="H21" s="17" t="s">
        <v>347</v>
      </c>
      <c r="I21" s="17" t="s">
        <v>348</v>
      </c>
    </row>
    <row r="22" spans="1:9" ht="32.25" customHeight="1" x14ac:dyDescent="0.35">
      <c r="A22" s="18" t="s">
        <v>149</v>
      </c>
      <c r="B22" s="19" t="s">
        <v>150</v>
      </c>
      <c r="C22" s="18" t="s">
        <v>30</v>
      </c>
      <c r="D22" s="19" t="s">
        <v>153</v>
      </c>
      <c r="E22" s="19" t="s">
        <v>156</v>
      </c>
      <c r="F22" s="19" t="s">
        <v>157</v>
      </c>
      <c r="G22" s="22">
        <f>INDEX('Indicator Master'!$N$4:$N$46,MATCH($A22,'Indicator Master'!$A$4:$A$46,0))</f>
        <v>40</v>
      </c>
      <c r="H22" s="19" t="s">
        <v>347</v>
      </c>
      <c r="I22" s="19" t="s">
        <v>348</v>
      </c>
    </row>
    <row r="23" spans="1:9" ht="42.75" customHeight="1" x14ac:dyDescent="0.35">
      <c r="A23" s="16" t="s">
        <v>158</v>
      </c>
      <c r="B23" s="17" t="s">
        <v>159</v>
      </c>
      <c r="C23" s="16" t="s">
        <v>30</v>
      </c>
      <c r="D23" s="17" t="s">
        <v>162</v>
      </c>
      <c r="E23" s="17" t="s">
        <v>165</v>
      </c>
      <c r="F23" s="17" t="s">
        <v>166</v>
      </c>
      <c r="G23" s="21">
        <f>INDEX('Indicator Master'!$N$4:$N$46,MATCH($A23,'Indicator Master'!$A$4:$A$46,0))</f>
        <v>40</v>
      </c>
      <c r="H23" s="17" t="s">
        <v>347</v>
      </c>
      <c r="I23" s="17" t="s">
        <v>348</v>
      </c>
    </row>
    <row r="24" spans="1:9" ht="32.25" customHeight="1" x14ac:dyDescent="0.35">
      <c r="A24" s="18" t="s">
        <v>167</v>
      </c>
      <c r="B24" s="19" t="s">
        <v>168</v>
      </c>
      <c r="C24" s="18" t="s">
        <v>30</v>
      </c>
      <c r="D24" s="19" t="s">
        <v>170</v>
      </c>
      <c r="E24" s="19" t="s">
        <v>171</v>
      </c>
      <c r="F24" s="19" t="s">
        <v>172</v>
      </c>
      <c r="G24" s="22">
        <f>INDEX('Indicator Master'!$N$4:$N$46,MATCH($A24,'Indicator Master'!$A$4:$A$46,0))</f>
        <v>40</v>
      </c>
      <c r="H24" s="19" t="s">
        <v>347</v>
      </c>
      <c r="I24" s="19" t="s">
        <v>348</v>
      </c>
    </row>
    <row r="25" spans="1:9" ht="32.25" customHeight="1" x14ac:dyDescent="0.35">
      <c r="A25" s="16" t="s">
        <v>173</v>
      </c>
      <c r="B25" s="17" t="s">
        <v>174</v>
      </c>
      <c r="C25" s="16" t="s">
        <v>30</v>
      </c>
      <c r="D25" s="17" t="s">
        <v>177</v>
      </c>
      <c r="E25" s="17" t="s">
        <v>178</v>
      </c>
      <c r="F25" s="17" t="s">
        <v>179</v>
      </c>
      <c r="G25" s="21">
        <f>INDEX('Indicator Master'!$N$4:$N$46,MATCH($A25,'Indicator Master'!$A$4:$A$46,0))</f>
        <v>40</v>
      </c>
      <c r="H25" s="17" t="s">
        <v>347</v>
      </c>
      <c r="I25" s="17" t="s">
        <v>348</v>
      </c>
    </row>
    <row r="26" spans="1:9" ht="32.25" customHeight="1" x14ac:dyDescent="0.35">
      <c r="A26" s="18" t="s">
        <v>180</v>
      </c>
      <c r="B26" s="19" t="s">
        <v>181</v>
      </c>
      <c r="C26" s="18" t="s">
        <v>30</v>
      </c>
      <c r="D26" s="19" t="s">
        <v>183</v>
      </c>
      <c r="E26" s="19" t="s">
        <v>186</v>
      </c>
      <c r="F26" s="19" t="s">
        <v>187</v>
      </c>
      <c r="G26" s="22">
        <f>INDEX('Indicator Master'!$N$4:$N$46,MATCH($A26,'Indicator Master'!$A$4:$A$46,0))</f>
        <v>40</v>
      </c>
      <c r="H26" s="19" t="s">
        <v>347</v>
      </c>
      <c r="I26" s="19" t="s">
        <v>348</v>
      </c>
    </row>
    <row r="27" spans="1:9" ht="32.25" customHeight="1" x14ac:dyDescent="0.35">
      <c r="A27" s="16" t="s">
        <v>188</v>
      </c>
      <c r="B27" s="17" t="s">
        <v>189</v>
      </c>
      <c r="C27" s="16" t="s">
        <v>30</v>
      </c>
      <c r="D27" s="17" t="s">
        <v>191</v>
      </c>
      <c r="E27" s="17" t="s">
        <v>192</v>
      </c>
      <c r="F27" s="17" t="s">
        <v>193</v>
      </c>
      <c r="G27" s="21">
        <f>INDEX('Indicator Master'!$N$4:$N$46,MATCH($A27,'Indicator Master'!$A$4:$A$46,0))</f>
        <v>40</v>
      </c>
      <c r="H27" s="17" t="s">
        <v>347</v>
      </c>
      <c r="I27" s="17" t="s">
        <v>348</v>
      </c>
    </row>
    <row r="28" spans="1:9" ht="32.25" customHeight="1" x14ac:dyDescent="0.35">
      <c r="A28" s="18" t="s">
        <v>194</v>
      </c>
      <c r="B28" s="19" t="s">
        <v>195</v>
      </c>
      <c r="C28" s="18" t="s">
        <v>30</v>
      </c>
      <c r="D28" s="19" t="s">
        <v>197</v>
      </c>
      <c r="E28" s="19" t="s">
        <v>198</v>
      </c>
      <c r="F28" s="19" t="s">
        <v>199</v>
      </c>
      <c r="G28" s="22">
        <f>INDEX('Indicator Master'!$N$4:$N$46,MATCH($A28,'Indicator Master'!$A$4:$A$46,0))</f>
        <v>40</v>
      </c>
      <c r="H28" s="19" t="s">
        <v>347</v>
      </c>
      <c r="I28" s="19" t="s">
        <v>348</v>
      </c>
    </row>
    <row r="29" spans="1:9" ht="32.25" customHeight="1" x14ac:dyDescent="0.35">
      <c r="A29" s="16" t="s">
        <v>200</v>
      </c>
      <c r="B29" s="17" t="s">
        <v>201</v>
      </c>
      <c r="C29" s="16" t="s">
        <v>30</v>
      </c>
      <c r="D29" s="17" t="s">
        <v>204</v>
      </c>
      <c r="E29" s="17" t="s">
        <v>205</v>
      </c>
      <c r="F29" s="17" t="s">
        <v>206</v>
      </c>
      <c r="G29" s="21">
        <f>INDEX('Indicator Master'!$N$4:$N$46,MATCH($A29,'Indicator Master'!$A$4:$A$46,0))</f>
        <v>40</v>
      </c>
      <c r="H29" s="17" t="s">
        <v>347</v>
      </c>
      <c r="I29" s="17" t="s">
        <v>348</v>
      </c>
    </row>
    <row r="30" spans="1:9" ht="32.25" customHeight="1" x14ac:dyDescent="0.35">
      <c r="A30" s="18" t="s">
        <v>207</v>
      </c>
      <c r="B30" s="19" t="s">
        <v>208</v>
      </c>
      <c r="C30" s="18" t="s">
        <v>30</v>
      </c>
      <c r="D30" s="19" t="s">
        <v>211</v>
      </c>
      <c r="E30" s="19" t="s">
        <v>212</v>
      </c>
      <c r="F30" s="19" t="s">
        <v>213</v>
      </c>
      <c r="G30" s="22">
        <f>INDEX('Indicator Master'!$N$4:$N$46,MATCH($A30,'Indicator Master'!$A$4:$A$46,0))</f>
        <v>35</v>
      </c>
      <c r="H30" s="19" t="s">
        <v>347</v>
      </c>
      <c r="I30" s="19" t="s">
        <v>348</v>
      </c>
    </row>
    <row r="31" spans="1:9" ht="32.25" customHeight="1" x14ac:dyDescent="0.35">
      <c r="A31" s="16" t="s">
        <v>214</v>
      </c>
      <c r="B31" s="17" t="s">
        <v>215</v>
      </c>
      <c r="C31" s="16" t="s">
        <v>30</v>
      </c>
      <c r="D31" s="17" t="s">
        <v>217</v>
      </c>
      <c r="E31" s="17" t="s">
        <v>220</v>
      </c>
      <c r="F31" s="17" t="s">
        <v>221</v>
      </c>
      <c r="G31" s="21">
        <f>INDEX('Indicator Master'!$N$4:$N$46,MATCH($A31,'Indicator Master'!$A$4:$A$46,0))</f>
        <v>50</v>
      </c>
      <c r="H31" s="17" t="s">
        <v>347</v>
      </c>
      <c r="I31" s="17" t="s">
        <v>348</v>
      </c>
    </row>
    <row r="32" spans="1:9" ht="42.75" customHeight="1" x14ac:dyDescent="0.35">
      <c r="A32" s="18" t="s">
        <v>222</v>
      </c>
      <c r="B32" s="19" t="s">
        <v>223</v>
      </c>
      <c r="C32" s="18" t="s">
        <v>30</v>
      </c>
      <c r="D32" s="19" t="s">
        <v>226</v>
      </c>
      <c r="E32" s="19" t="s">
        <v>228</v>
      </c>
      <c r="F32" s="19" t="s">
        <v>229</v>
      </c>
      <c r="G32" s="22">
        <f>INDEX('Indicator Master'!$N$4:$N$46,MATCH($A32,'Indicator Master'!$A$4:$A$46,0))</f>
        <v>40</v>
      </c>
      <c r="H32" s="19" t="s">
        <v>347</v>
      </c>
      <c r="I32" s="19" t="s">
        <v>348</v>
      </c>
    </row>
    <row r="33" spans="1:9" ht="32.25" customHeight="1" x14ac:dyDescent="0.35">
      <c r="A33" s="16" t="s">
        <v>230</v>
      </c>
      <c r="B33" s="17" t="s">
        <v>231</v>
      </c>
      <c r="C33" s="16" t="s">
        <v>30</v>
      </c>
      <c r="D33" s="17" t="s">
        <v>234</v>
      </c>
      <c r="E33" s="17" t="s">
        <v>235</v>
      </c>
      <c r="F33" s="17" t="s">
        <v>236</v>
      </c>
      <c r="G33" s="21">
        <f>INDEX('Indicator Master'!$N$4:$N$46,MATCH($A33,'Indicator Master'!$A$4:$A$46,0))</f>
        <v>40</v>
      </c>
      <c r="H33" s="17" t="s">
        <v>347</v>
      </c>
      <c r="I33" s="17" t="s">
        <v>348</v>
      </c>
    </row>
    <row r="34" spans="1:9" ht="32.25" customHeight="1" x14ac:dyDescent="0.35">
      <c r="A34" s="18" t="s">
        <v>237</v>
      </c>
      <c r="B34" s="19" t="s">
        <v>238</v>
      </c>
      <c r="C34" s="18" t="s">
        <v>30</v>
      </c>
      <c r="D34" s="19" t="s">
        <v>241</v>
      </c>
      <c r="E34" s="19" t="s">
        <v>244</v>
      </c>
      <c r="F34" s="19" t="s">
        <v>245</v>
      </c>
      <c r="G34" s="22">
        <f>INDEX('Indicator Master'!$N$4:$N$46,MATCH($A34,'Indicator Master'!$A$4:$A$46,0))</f>
        <v>40</v>
      </c>
      <c r="H34" s="19" t="s">
        <v>347</v>
      </c>
      <c r="I34" s="19" t="s">
        <v>348</v>
      </c>
    </row>
    <row r="35" spans="1:9" ht="32.25" customHeight="1" x14ac:dyDescent="0.35">
      <c r="A35" s="16" t="s">
        <v>246</v>
      </c>
      <c r="B35" s="17" t="s">
        <v>247</v>
      </c>
      <c r="C35" s="16" t="s">
        <v>30</v>
      </c>
      <c r="D35" s="17" t="s">
        <v>250</v>
      </c>
      <c r="E35" s="17" t="s">
        <v>253</v>
      </c>
      <c r="F35" s="17" t="s">
        <v>254</v>
      </c>
      <c r="G35" s="21">
        <f>INDEX('Indicator Master'!$N$4:$N$46,MATCH($A35,'Indicator Master'!$A$4:$A$46,0))</f>
        <v>50</v>
      </c>
      <c r="H35" s="17" t="s">
        <v>347</v>
      </c>
      <c r="I35" s="17" t="s">
        <v>348</v>
      </c>
    </row>
    <row r="36" spans="1:9" ht="32.25" customHeight="1" x14ac:dyDescent="0.35">
      <c r="A36" s="18" t="s">
        <v>255</v>
      </c>
      <c r="B36" s="19" t="s">
        <v>256</v>
      </c>
      <c r="C36" s="18" t="s">
        <v>30</v>
      </c>
      <c r="D36" s="19" t="s">
        <v>258</v>
      </c>
      <c r="E36" s="19" t="s">
        <v>259</v>
      </c>
      <c r="F36" s="19" t="s">
        <v>260</v>
      </c>
      <c r="G36" s="22">
        <f>INDEX('Indicator Master'!$N$4:$N$46,MATCH($A36,'Indicator Master'!$A$4:$A$46,0))</f>
        <v>40</v>
      </c>
      <c r="H36" s="19" t="s">
        <v>347</v>
      </c>
      <c r="I36" s="19" t="s">
        <v>348</v>
      </c>
    </row>
    <row r="37" spans="1:9" ht="32.25" customHeight="1" x14ac:dyDescent="0.35">
      <c r="A37" s="16" t="s">
        <v>261</v>
      </c>
      <c r="B37" s="17" t="s">
        <v>262</v>
      </c>
      <c r="C37" s="16" t="s">
        <v>30</v>
      </c>
      <c r="D37" s="17" t="s">
        <v>265</v>
      </c>
      <c r="E37" s="17" t="s">
        <v>268</v>
      </c>
      <c r="F37" s="17" t="s">
        <v>269</v>
      </c>
      <c r="G37" s="21">
        <f>INDEX('Indicator Master'!$N$4:$N$46,MATCH($A37,'Indicator Master'!$A$4:$A$46,0))</f>
        <v>40</v>
      </c>
      <c r="H37" s="17" t="s">
        <v>347</v>
      </c>
      <c r="I37" s="17" t="s">
        <v>348</v>
      </c>
    </row>
    <row r="38" spans="1:9" ht="32.25" customHeight="1" x14ac:dyDescent="0.35">
      <c r="A38" s="18" t="s">
        <v>270</v>
      </c>
      <c r="B38" s="19" t="s">
        <v>271</v>
      </c>
      <c r="C38" s="18" t="s">
        <v>30</v>
      </c>
      <c r="D38" s="19" t="s">
        <v>273</v>
      </c>
      <c r="E38" s="19" t="s">
        <v>274</v>
      </c>
      <c r="F38" s="19" t="s">
        <v>275</v>
      </c>
      <c r="G38" s="22">
        <f>INDEX('Indicator Master'!$N$4:$N$46,MATCH($A38,'Indicator Master'!$A$4:$A$46,0))</f>
        <v>30</v>
      </c>
      <c r="H38" s="19" t="s">
        <v>347</v>
      </c>
      <c r="I38" s="19" t="s">
        <v>348</v>
      </c>
    </row>
    <row r="39" spans="1:9" ht="74.25" customHeight="1" x14ac:dyDescent="0.35">
      <c r="A39" s="16" t="s">
        <v>276</v>
      </c>
      <c r="B39" s="17" t="s">
        <v>277</v>
      </c>
      <c r="C39" s="16" t="s">
        <v>30</v>
      </c>
      <c r="D39" s="17" t="s">
        <v>279</v>
      </c>
      <c r="E39" s="17" t="s">
        <v>280</v>
      </c>
      <c r="F39" s="17" t="s">
        <v>281</v>
      </c>
      <c r="G39" s="21">
        <f>INDEX('Indicator Master'!$N$4:$N$46,MATCH($A39,'Indicator Master'!$A$4:$A$46,0))</f>
        <v>50</v>
      </c>
      <c r="H39" s="17" t="s">
        <v>347</v>
      </c>
      <c r="I39" s="17" t="s">
        <v>348</v>
      </c>
    </row>
    <row r="40" spans="1:9" ht="32.25" customHeight="1" x14ac:dyDescent="0.35">
      <c r="A40" s="18" t="s">
        <v>282</v>
      </c>
      <c r="B40" s="19" t="s">
        <v>283</v>
      </c>
      <c r="C40" s="18" t="s">
        <v>30</v>
      </c>
      <c r="D40" s="19" t="s">
        <v>286</v>
      </c>
      <c r="E40" s="19" t="s">
        <v>287</v>
      </c>
      <c r="F40" s="19" t="s">
        <v>288</v>
      </c>
      <c r="G40" s="22">
        <f>INDEX('Indicator Master'!$N$4:$N$46,MATCH($A40,'Indicator Master'!$A$4:$A$46,0))</f>
        <v>50</v>
      </c>
      <c r="H40" s="19" t="s">
        <v>347</v>
      </c>
      <c r="I40" s="19" t="s">
        <v>348</v>
      </c>
    </row>
    <row r="41" spans="1:9" ht="32.25" customHeight="1" x14ac:dyDescent="0.35">
      <c r="A41" s="16" t="s">
        <v>289</v>
      </c>
      <c r="B41" s="17" t="s">
        <v>290</v>
      </c>
      <c r="C41" s="16" t="s">
        <v>30</v>
      </c>
      <c r="D41" s="17" t="s">
        <v>293</v>
      </c>
      <c r="E41" s="17" t="s">
        <v>294</v>
      </c>
      <c r="F41" s="17" t="s">
        <v>295</v>
      </c>
      <c r="G41" s="21">
        <f>INDEX('Indicator Master'!$N$4:$N$46,MATCH($A41,'Indicator Master'!$A$4:$A$46,0))</f>
        <v>50</v>
      </c>
      <c r="H41" s="17" t="s">
        <v>347</v>
      </c>
      <c r="I41" s="17" t="s">
        <v>348</v>
      </c>
    </row>
    <row r="42" spans="1:9" ht="32.25" customHeight="1" x14ac:dyDescent="0.35">
      <c r="A42" s="18" t="s">
        <v>296</v>
      </c>
      <c r="B42" s="19" t="s">
        <v>297</v>
      </c>
      <c r="C42" s="18" t="s">
        <v>30</v>
      </c>
      <c r="D42" s="19" t="s">
        <v>299</v>
      </c>
      <c r="E42" s="19" t="s">
        <v>303</v>
      </c>
      <c r="F42" s="19" t="s">
        <v>304</v>
      </c>
      <c r="G42" s="22">
        <f>INDEX('Indicator Master'!$N$4:$N$46,MATCH($A42,'Indicator Master'!$A$4:$A$46,0))</f>
        <v>40</v>
      </c>
      <c r="H42" s="19" t="s">
        <v>347</v>
      </c>
      <c r="I42" s="19" t="s">
        <v>348</v>
      </c>
    </row>
    <row r="43" spans="1:9" ht="32.25" customHeight="1" x14ac:dyDescent="0.35">
      <c r="A43" s="16" t="s">
        <v>305</v>
      </c>
      <c r="B43" s="17" t="s">
        <v>306</v>
      </c>
      <c r="C43" s="16" t="s">
        <v>30</v>
      </c>
      <c r="D43" s="17" t="s">
        <v>308</v>
      </c>
      <c r="E43" s="17" t="s">
        <v>311</v>
      </c>
      <c r="F43" s="17" t="s">
        <v>312</v>
      </c>
      <c r="G43" s="21">
        <f>INDEX('Indicator Master'!$N$4:$N$46,MATCH($A43,'Indicator Master'!$A$4:$A$46,0))</f>
        <v>50</v>
      </c>
      <c r="H43" s="17" t="s">
        <v>347</v>
      </c>
      <c r="I43" s="17" t="s">
        <v>348</v>
      </c>
    </row>
    <row r="44" spans="1:9" ht="32.25" customHeight="1" x14ac:dyDescent="0.35">
      <c r="A44" s="18" t="s">
        <v>313</v>
      </c>
      <c r="B44" s="19" t="s">
        <v>314</v>
      </c>
      <c r="C44" s="18" t="s">
        <v>30</v>
      </c>
      <c r="D44" s="19" t="s">
        <v>316</v>
      </c>
      <c r="E44" s="19" t="s">
        <v>317</v>
      </c>
      <c r="F44" s="19" t="s">
        <v>312</v>
      </c>
      <c r="G44" s="22">
        <f>INDEX('Indicator Master'!$N$4:$N$46,MATCH($A44,'Indicator Master'!$A$4:$A$46,0))</f>
        <v>50</v>
      </c>
      <c r="H44" s="19" t="s">
        <v>347</v>
      </c>
      <c r="I44" s="19" t="s">
        <v>348</v>
      </c>
    </row>
    <row r="45" spans="1:9" ht="32.25" customHeight="1" x14ac:dyDescent="0.35">
      <c r="A45" s="16" t="s">
        <v>318</v>
      </c>
      <c r="B45" s="17" t="s">
        <v>319</v>
      </c>
      <c r="C45" s="16" t="s">
        <v>30</v>
      </c>
      <c r="D45" s="17" t="s">
        <v>322</v>
      </c>
      <c r="E45" s="17" t="s">
        <v>326</v>
      </c>
      <c r="F45" s="17" t="s">
        <v>327</v>
      </c>
      <c r="G45" s="21">
        <f>INDEX('Indicator Master'!$N$4:$N$46,MATCH($A45,'Indicator Master'!$A$4:$A$46,0))</f>
        <v>40</v>
      </c>
      <c r="H45" s="17" t="s">
        <v>347</v>
      </c>
      <c r="I45" s="17" t="s">
        <v>348</v>
      </c>
    </row>
    <row r="46" spans="1:9" ht="32.25" customHeight="1" x14ac:dyDescent="0.35">
      <c r="A46" s="18" t="s">
        <v>328</v>
      </c>
      <c r="B46" s="19" t="s">
        <v>329</v>
      </c>
      <c r="C46" s="18" t="s">
        <v>30</v>
      </c>
      <c r="D46" s="19" t="s">
        <v>331</v>
      </c>
      <c r="E46" s="19" t="s">
        <v>332</v>
      </c>
      <c r="F46" s="19" t="s">
        <v>333</v>
      </c>
      <c r="G46" s="22">
        <f>INDEX('Indicator Master'!$N$4:$N$46,MATCH($A46,'Indicator Master'!$A$4:$A$46,0))</f>
        <v>40</v>
      </c>
      <c r="H46" s="19" t="s">
        <v>347</v>
      </c>
      <c r="I46" s="19" t="s">
        <v>348</v>
      </c>
    </row>
    <row r="47" spans="1:9" ht="32.25" customHeight="1" x14ac:dyDescent="0.35">
      <c r="A47" s="16" t="s">
        <v>334</v>
      </c>
      <c r="B47" s="17" t="s">
        <v>335</v>
      </c>
      <c r="C47" s="16" t="s">
        <v>30</v>
      </c>
      <c r="D47" s="17" t="s">
        <v>337</v>
      </c>
      <c r="E47" s="17" t="s">
        <v>338</v>
      </c>
      <c r="F47" s="17" t="s">
        <v>339</v>
      </c>
      <c r="G47" s="21">
        <f>INDEX('Indicator Master'!$N$4:$N$46,MATCH($A47,'Indicator Master'!$A$4:$A$46,0))</f>
        <v>40</v>
      </c>
      <c r="H47" s="17" t="s">
        <v>347</v>
      </c>
      <c r="I47" s="17" t="s">
        <v>348</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3"/>
  <sheetViews>
    <sheetView zoomScaleNormal="100" workbookViewId="0">
      <pane xSplit="5" ySplit="4" topLeftCell="F5" activePane="bottomRight" state="frozen"/>
      <selection pane="topRight" activeCell="F1" sqref="F1"/>
      <selection pane="bottomLeft" activeCell="A5" sqref="A5"/>
      <selection pane="bottomRight"/>
    </sheetView>
  </sheetViews>
  <sheetFormatPr defaultColWidth="8.6328125" defaultRowHeight="14.5" x14ac:dyDescent="0.35"/>
  <cols>
    <col min="1" max="1" width="8" customWidth="1"/>
    <col min="2" max="2" width="24" customWidth="1"/>
    <col min="3" max="3" width="10" customWidth="1"/>
    <col min="4" max="4" width="22" customWidth="1"/>
    <col min="5" max="5" width="7" customWidth="1"/>
    <col min="6" max="6" width="30" customWidth="1"/>
    <col min="7" max="7" width="20" customWidth="1"/>
    <col min="8" max="9" width="11" customWidth="1"/>
    <col min="10" max="10" width="20" customWidth="1"/>
    <col min="11" max="11" width="8" customWidth="1"/>
    <col min="12" max="12" width="12" customWidth="1"/>
    <col min="13" max="13" width="9" customWidth="1"/>
    <col min="14" max="14" width="13" customWidth="1"/>
    <col min="15" max="15" width="40" customWidth="1"/>
    <col min="16" max="16" width="54" customWidth="1"/>
    <col min="17" max="17" width="20" customWidth="1"/>
    <col min="18" max="18" width="14" hidden="1" customWidth="1"/>
  </cols>
  <sheetData>
    <row r="1" spans="1:18" ht="30" customHeight="1" x14ac:dyDescent="0.35">
      <c r="A1" s="14" t="s">
        <v>349</v>
      </c>
      <c r="B1" s="14"/>
      <c r="C1" s="14"/>
      <c r="D1" s="14"/>
      <c r="E1" s="14"/>
      <c r="F1" s="14"/>
      <c r="G1" s="14"/>
      <c r="H1" s="14"/>
      <c r="I1" s="14"/>
      <c r="J1" s="14"/>
      <c r="K1" s="14"/>
      <c r="L1" s="14"/>
      <c r="M1" s="14"/>
      <c r="N1" s="14"/>
      <c r="O1" s="14"/>
      <c r="P1" s="14"/>
      <c r="Q1" s="14"/>
      <c r="R1" s="14"/>
    </row>
    <row r="2" spans="1:18" ht="25.5" customHeight="1" x14ac:dyDescent="0.35">
      <c r="A2" s="13" t="s">
        <v>350</v>
      </c>
      <c r="B2" s="13"/>
      <c r="C2" s="13"/>
      <c r="D2" s="13"/>
      <c r="E2" s="13"/>
      <c r="F2" s="13"/>
      <c r="G2" s="13"/>
      <c r="H2" s="13"/>
      <c r="I2" s="13"/>
      <c r="J2" s="13"/>
      <c r="K2" s="13"/>
      <c r="L2" s="13"/>
      <c r="M2" s="13"/>
      <c r="N2" s="13"/>
      <c r="O2" s="13"/>
      <c r="P2" s="13"/>
      <c r="Q2" s="13"/>
      <c r="R2" s="13"/>
    </row>
    <row r="4" spans="1:18" ht="37.5" customHeight="1" x14ac:dyDescent="0.35">
      <c r="A4" s="15" t="s">
        <v>15</v>
      </c>
      <c r="B4" s="15" t="s">
        <v>17</v>
      </c>
      <c r="C4" s="15" t="s">
        <v>16</v>
      </c>
      <c r="D4" s="15" t="s">
        <v>351</v>
      </c>
      <c r="E4" s="15" t="s">
        <v>352</v>
      </c>
      <c r="F4" s="15" t="s">
        <v>353</v>
      </c>
      <c r="G4" s="15" t="s">
        <v>354</v>
      </c>
      <c r="H4" s="15" t="s">
        <v>355</v>
      </c>
      <c r="I4" s="15" t="s">
        <v>356</v>
      </c>
      <c r="J4" s="15" t="s">
        <v>357</v>
      </c>
      <c r="K4" s="15" t="s">
        <v>358</v>
      </c>
      <c r="L4" s="15" t="s">
        <v>359</v>
      </c>
      <c r="M4" s="15" t="s">
        <v>360</v>
      </c>
      <c r="N4" s="15" t="s">
        <v>361</v>
      </c>
      <c r="O4" s="15" t="s">
        <v>362</v>
      </c>
      <c r="P4" s="15" t="s">
        <v>363</v>
      </c>
      <c r="Q4" s="15" t="s">
        <v>364</v>
      </c>
      <c r="R4" s="15" t="s">
        <v>365</v>
      </c>
    </row>
    <row r="5" spans="1:18" ht="21.75" customHeight="1" x14ac:dyDescent="0.35">
      <c r="A5" s="23" t="s">
        <v>29</v>
      </c>
      <c r="B5" s="19" t="s">
        <v>31</v>
      </c>
      <c r="C5" s="23" t="s">
        <v>30</v>
      </c>
      <c r="D5" s="19" t="s">
        <v>35</v>
      </c>
      <c r="E5" s="23">
        <v>1</v>
      </c>
      <c r="F5" s="19" t="s">
        <v>366</v>
      </c>
      <c r="G5" s="19" t="s">
        <v>367</v>
      </c>
      <c r="H5" s="23"/>
      <c r="I5" s="23">
        <v>85</v>
      </c>
      <c r="J5" s="23" t="s">
        <v>368</v>
      </c>
      <c r="K5" s="23">
        <v>0</v>
      </c>
      <c r="L5" s="24">
        <f>$K5/INDEX('Indicator Master'!$N$4:$N$46,MATCH($A5,'Indicator Master'!$A$4:$A$46,0))*'Risk Bands (Config)'!$B$5</f>
        <v>0</v>
      </c>
      <c r="M5" s="23">
        <f>IF($K5=INDEX('Indicator Master'!$N$4:$N$46,MATCH($A5,'Indicator Master'!$A$4:$A$46,0)),1,0)</f>
        <v>0</v>
      </c>
      <c r="N5" s="25"/>
      <c r="O5" s="19" t="s">
        <v>369</v>
      </c>
      <c r="P5" s="19" t="s">
        <v>370</v>
      </c>
      <c r="Q5" s="19" t="s">
        <v>371</v>
      </c>
      <c r="R5" s="26" t="str">
        <f t="shared" ref="R5:R36" si="0">$A5&amp;"|"&amp;$K5</f>
        <v>EWS-001|0</v>
      </c>
    </row>
    <row r="6" spans="1:18" ht="21.75" customHeight="1" x14ac:dyDescent="0.35">
      <c r="A6" s="23" t="s">
        <v>29</v>
      </c>
      <c r="B6" s="19" t="s">
        <v>31</v>
      </c>
      <c r="C6" s="23" t="s">
        <v>30</v>
      </c>
      <c r="D6" s="19" t="s">
        <v>35</v>
      </c>
      <c r="E6" s="23">
        <v>2</v>
      </c>
      <c r="F6" s="19" t="s">
        <v>372</v>
      </c>
      <c r="G6" s="19" t="s">
        <v>373</v>
      </c>
      <c r="H6" s="23">
        <v>85</v>
      </c>
      <c r="I6" s="23">
        <v>90</v>
      </c>
      <c r="J6" s="23" t="s">
        <v>374</v>
      </c>
      <c r="K6" s="23">
        <v>10</v>
      </c>
      <c r="L6" s="24">
        <f>$K6/INDEX('Indicator Master'!$N$4:$N$46,MATCH($A6,'Indicator Master'!$A$4:$A$46,0))*'Risk Bands (Config)'!$B$5</f>
        <v>33.333333333333329</v>
      </c>
      <c r="M6" s="23">
        <f>IF($K6=INDEX('Indicator Master'!$N$4:$N$46,MATCH($A6,'Indicator Master'!$A$4:$A$46,0)),1,0)</f>
        <v>0</v>
      </c>
      <c r="N6" s="25"/>
      <c r="O6" s="19" t="s">
        <v>375</v>
      </c>
      <c r="P6" s="19" t="s">
        <v>376</v>
      </c>
      <c r="Q6" s="19" t="s">
        <v>377</v>
      </c>
      <c r="R6" s="26" t="str">
        <f t="shared" si="0"/>
        <v>EWS-001|10</v>
      </c>
    </row>
    <row r="7" spans="1:18" ht="32.25" customHeight="1" x14ac:dyDescent="0.35">
      <c r="A7" s="23" t="s">
        <v>29</v>
      </c>
      <c r="B7" s="19" t="s">
        <v>31</v>
      </c>
      <c r="C7" s="23" t="s">
        <v>30</v>
      </c>
      <c r="D7" s="19" t="s">
        <v>35</v>
      </c>
      <c r="E7" s="23">
        <v>3</v>
      </c>
      <c r="F7" s="19" t="s">
        <v>378</v>
      </c>
      <c r="G7" s="19" t="s">
        <v>373</v>
      </c>
      <c r="H7" s="23">
        <v>90</v>
      </c>
      <c r="I7" s="23">
        <v>95</v>
      </c>
      <c r="J7" s="23" t="s">
        <v>374</v>
      </c>
      <c r="K7" s="23">
        <v>20</v>
      </c>
      <c r="L7" s="24">
        <f>$K7/INDEX('Indicator Master'!$N$4:$N$46,MATCH($A7,'Indicator Master'!$A$4:$A$46,0))*'Risk Bands (Config)'!$B$5</f>
        <v>66.666666666666657</v>
      </c>
      <c r="M7" s="23">
        <f>IF($K7=INDEX('Indicator Master'!$N$4:$N$46,MATCH($A7,'Indicator Master'!$A$4:$A$46,0)),1,0)</f>
        <v>0</v>
      </c>
      <c r="N7" s="25"/>
      <c r="O7" s="19" t="s">
        <v>379</v>
      </c>
      <c r="P7" s="19" t="s">
        <v>380</v>
      </c>
      <c r="Q7" s="19" t="s">
        <v>381</v>
      </c>
      <c r="R7" s="26" t="str">
        <f t="shared" si="0"/>
        <v>EWS-001|20</v>
      </c>
    </row>
    <row r="8" spans="1:18" ht="32.25" customHeight="1" x14ac:dyDescent="0.35">
      <c r="A8" s="23" t="s">
        <v>29</v>
      </c>
      <c r="B8" s="19" t="s">
        <v>31</v>
      </c>
      <c r="C8" s="23" t="s">
        <v>30</v>
      </c>
      <c r="D8" s="19" t="s">
        <v>35</v>
      </c>
      <c r="E8" s="23">
        <v>4</v>
      </c>
      <c r="F8" s="19" t="s">
        <v>382</v>
      </c>
      <c r="G8" s="19" t="s">
        <v>367</v>
      </c>
      <c r="H8" s="23">
        <v>95</v>
      </c>
      <c r="I8" s="23"/>
      <c r="J8" s="23" t="s">
        <v>383</v>
      </c>
      <c r="K8" s="23">
        <v>30</v>
      </c>
      <c r="L8" s="24">
        <f>$K8/INDEX('Indicator Master'!$N$4:$N$46,MATCH($A8,'Indicator Master'!$A$4:$A$46,0))*'Risk Bands (Config)'!$B$5</f>
        <v>100</v>
      </c>
      <c r="M8" s="23">
        <f>IF($K8=INDEX('Indicator Master'!$N$4:$N$46,MATCH($A8,'Indicator Master'!$A$4:$A$46,0)),1,0)</f>
        <v>1</v>
      </c>
      <c r="N8" s="25"/>
      <c r="O8" s="19" t="s">
        <v>384</v>
      </c>
      <c r="P8" s="19" t="s">
        <v>385</v>
      </c>
      <c r="Q8" s="19" t="s">
        <v>386</v>
      </c>
      <c r="R8" s="26" t="str">
        <f t="shared" si="0"/>
        <v>EWS-001|30</v>
      </c>
    </row>
    <row r="9" spans="1:18" ht="21.75" customHeight="1" x14ac:dyDescent="0.35">
      <c r="A9" s="23" t="s">
        <v>42</v>
      </c>
      <c r="B9" s="19" t="s">
        <v>43</v>
      </c>
      <c r="C9" s="23" t="s">
        <v>30</v>
      </c>
      <c r="D9" s="19" t="s">
        <v>45</v>
      </c>
      <c r="E9" s="23">
        <v>1</v>
      </c>
      <c r="F9" s="19" t="s">
        <v>387</v>
      </c>
      <c r="G9" s="19" t="s">
        <v>388</v>
      </c>
      <c r="H9" s="23">
        <v>0</v>
      </c>
      <c r="I9" s="23">
        <v>1</v>
      </c>
      <c r="J9" s="23" t="s">
        <v>389</v>
      </c>
      <c r="K9" s="23">
        <v>0</v>
      </c>
      <c r="L9" s="24">
        <f>$K9/INDEX('Indicator Master'!$N$4:$N$46,MATCH($A9,'Indicator Master'!$A$4:$A$46,0))*'Risk Bands (Config)'!$B$5</f>
        <v>0</v>
      </c>
      <c r="M9" s="23">
        <f>IF($K9=INDEX('Indicator Master'!$N$4:$N$46,MATCH($A9,'Indicator Master'!$A$4:$A$46,0)),1,0)</f>
        <v>0</v>
      </c>
      <c r="N9" s="25"/>
      <c r="O9" s="19" t="s">
        <v>390</v>
      </c>
      <c r="P9" s="19" t="s">
        <v>370</v>
      </c>
      <c r="Q9" s="19" t="s">
        <v>371</v>
      </c>
      <c r="R9" s="26" t="str">
        <f t="shared" si="0"/>
        <v>EWS-002|0</v>
      </c>
    </row>
    <row r="10" spans="1:18" ht="21.75" customHeight="1" x14ac:dyDescent="0.35">
      <c r="A10" s="23" t="s">
        <v>42</v>
      </c>
      <c r="B10" s="19" t="s">
        <v>43</v>
      </c>
      <c r="C10" s="23" t="s">
        <v>30</v>
      </c>
      <c r="D10" s="19" t="s">
        <v>45</v>
      </c>
      <c r="E10" s="23">
        <v>2</v>
      </c>
      <c r="F10" s="19" t="s">
        <v>391</v>
      </c>
      <c r="G10" s="19" t="s">
        <v>392</v>
      </c>
      <c r="H10" s="23">
        <v>2</v>
      </c>
      <c r="I10" s="23">
        <v>2</v>
      </c>
      <c r="J10" s="23" t="s">
        <v>393</v>
      </c>
      <c r="K10" s="23">
        <v>10</v>
      </c>
      <c r="L10" s="24">
        <f>$K10/INDEX('Indicator Master'!$N$4:$N$46,MATCH($A10,'Indicator Master'!$A$4:$A$46,0))*'Risk Bands (Config)'!$B$5</f>
        <v>33.333333333333329</v>
      </c>
      <c r="M10" s="23">
        <f>IF($K10=INDEX('Indicator Master'!$N$4:$N$46,MATCH($A10,'Indicator Master'!$A$4:$A$46,0)),1,0)</f>
        <v>0</v>
      </c>
      <c r="N10" s="25"/>
      <c r="O10" s="19" t="s">
        <v>394</v>
      </c>
      <c r="P10" s="19" t="s">
        <v>395</v>
      </c>
      <c r="Q10" s="19" t="s">
        <v>377</v>
      </c>
      <c r="R10" s="26" t="str">
        <f t="shared" si="0"/>
        <v>EWS-002|10</v>
      </c>
    </row>
    <row r="11" spans="1:18" ht="21.75" customHeight="1" x14ac:dyDescent="0.35">
      <c r="A11" s="23" t="s">
        <v>42</v>
      </c>
      <c r="B11" s="19" t="s">
        <v>43</v>
      </c>
      <c r="C11" s="23" t="s">
        <v>30</v>
      </c>
      <c r="D11" s="19" t="s">
        <v>45</v>
      </c>
      <c r="E11" s="23">
        <v>3</v>
      </c>
      <c r="F11" s="19" t="s">
        <v>396</v>
      </c>
      <c r="G11" s="19" t="s">
        <v>397</v>
      </c>
      <c r="H11" s="23">
        <v>3</v>
      </c>
      <c r="I11" s="23"/>
      <c r="J11" s="23" t="s">
        <v>398</v>
      </c>
      <c r="K11" s="23">
        <v>20</v>
      </c>
      <c r="L11" s="24">
        <f>$K11/INDEX('Indicator Master'!$N$4:$N$46,MATCH($A11,'Indicator Master'!$A$4:$A$46,0))*'Risk Bands (Config)'!$B$5</f>
        <v>66.666666666666657</v>
      </c>
      <c r="M11" s="23">
        <f>IF($K11=INDEX('Indicator Master'!$N$4:$N$46,MATCH($A11,'Indicator Master'!$A$4:$A$46,0)),1,0)</f>
        <v>0</v>
      </c>
      <c r="N11" s="25"/>
      <c r="O11" s="19" t="s">
        <v>399</v>
      </c>
      <c r="P11" s="19" t="s">
        <v>400</v>
      </c>
      <c r="Q11" s="19" t="s">
        <v>381</v>
      </c>
      <c r="R11" s="26" t="str">
        <f t="shared" si="0"/>
        <v>EWS-002|20</v>
      </c>
    </row>
    <row r="12" spans="1:18" ht="21.75" customHeight="1" x14ac:dyDescent="0.35">
      <c r="A12" s="23" t="s">
        <v>42</v>
      </c>
      <c r="B12" s="19" t="s">
        <v>43</v>
      </c>
      <c r="C12" s="23" t="s">
        <v>30</v>
      </c>
      <c r="D12" s="19" t="s">
        <v>45</v>
      </c>
      <c r="E12" s="23">
        <v>4</v>
      </c>
      <c r="F12" s="19" t="s">
        <v>401</v>
      </c>
      <c r="G12" s="19" t="s">
        <v>402</v>
      </c>
      <c r="H12" s="23"/>
      <c r="I12" s="23"/>
      <c r="J12" s="23" t="s">
        <v>403</v>
      </c>
      <c r="K12" s="23">
        <v>30</v>
      </c>
      <c r="L12" s="24">
        <f>$K12/INDEX('Indicator Master'!$N$4:$N$46,MATCH($A12,'Indicator Master'!$A$4:$A$46,0))*'Risk Bands (Config)'!$B$5</f>
        <v>100</v>
      </c>
      <c r="M12" s="23">
        <f>IF($K12=INDEX('Indicator Master'!$N$4:$N$46,MATCH($A12,'Indicator Master'!$A$4:$A$46,0)),1,0)</f>
        <v>1</v>
      </c>
      <c r="N12" s="25"/>
      <c r="O12" s="19" t="s">
        <v>404</v>
      </c>
      <c r="P12" s="19" t="s">
        <v>405</v>
      </c>
      <c r="Q12" s="19" t="s">
        <v>386</v>
      </c>
      <c r="R12" s="26" t="str">
        <f t="shared" si="0"/>
        <v>EWS-002|30</v>
      </c>
    </row>
    <row r="13" spans="1:18" ht="21.75" customHeight="1" x14ac:dyDescent="0.35">
      <c r="A13" s="25" t="s">
        <v>50</v>
      </c>
      <c r="B13" s="19" t="s">
        <v>51</v>
      </c>
      <c r="C13" s="23" t="s">
        <v>30</v>
      </c>
      <c r="D13" s="19" t="s">
        <v>54</v>
      </c>
      <c r="E13" s="23">
        <v>1</v>
      </c>
      <c r="F13" s="19" t="s">
        <v>406</v>
      </c>
      <c r="G13" s="19" t="s">
        <v>367</v>
      </c>
      <c r="H13" s="23"/>
      <c r="I13" s="23">
        <v>5</v>
      </c>
      <c r="J13" s="23" t="s">
        <v>368</v>
      </c>
      <c r="K13" s="23">
        <v>0</v>
      </c>
      <c r="L13" s="24">
        <f>$K13/INDEX('Indicator Master'!$N$4:$N$46,MATCH($A13,'Indicator Master'!$A$4:$A$46,0))*'Risk Bands (Config)'!$B$5</f>
        <v>0</v>
      </c>
      <c r="M13" s="23">
        <f>IF($K13=INDEX('Indicator Master'!$N$4:$N$46,MATCH($A13,'Indicator Master'!$A$4:$A$46,0)),1,0)</f>
        <v>0</v>
      </c>
      <c r="N13" s="25"/>
      <c r="O13" s="19" t="s">
        <v>407</v>
      </c>
      <c r="P13" s="19" t="s">
        <v>370</v>
      </c>
      <c r="Q13" s="19" t="s">
        <v>371</v>
      </c>
      <c r="R13" s="26" t="str">
        <f t="shared" si="0"/>
        <v>EWS-003|0</v>
      </c>
    </row>
    <row r="14" spans="1:18" ht="21.75" customHeight="1" x14ac:dyDescent="0.35">
      <c r="A14" s="25" t="s">
        <v>50</v>
      </c>
      <c r="B14" s="19" t="s">
        <v>51</v>
      </c>
      <c r="C14" s="23" t="s">
        <v>30</v>
      </c>
      <c r="D14" s="19" t="s">
        <v>54</v>
      </c>
      <c r="E14" s="23">
        <v>2</v>
      </c>
      <c r="F14" s="19" t="s">
        <v>408</v>
      </c>
      <c r="G14" s="19" t="s">
        <v>373</v>
      </c>
      <c r="H14" s="23">
        <v>5</v>
      </c>
      <c r="I14" s="23">
        <v>10</v>
      </c>
      <c r="J14" s="23" t="s">
        <v>374</v>
      </c>
      <c r="K14" s="23">
        <v>10</v>
      </c>
      <c r="L14" s="24">
        <f>$K14/INDEX('Indicator Master'!$N$4:$N$46,MATCH($A14,'Indicator Master'!$A$4:$A$46,0))*'Risk Bands (Config)'!$B$5</f>
        <v>28.571428571428569</v>
      </c>
      <c r="M14" s="23">
        <f>IF($K14=INDEX('Indicator Master'!$N$4:$N$46,MATCH($A14,'Indicator Master'!$A$4:$A$46,0)),1,0)</f>
        <v>0</v>
      </c>
      <c r="N14" s="25"/>
      <c r="O14" s="19" t="s">
        <v>409</v>
      </c>
      <c r="P14" s="19" t="s">
        <v>410</v>
      </c>
      <c r="Q14" s="19" t="s">
        <v>411</v>
      </c>
      <c r="R14" s="26" t="str">
        <f t="shared" si="0"/>
        <v>EWS-003|10</v>
      </c>
    </row>
    <row r="15" spans="1:18" ht="32.25" customHeight="1" x14ac:dyDescent="0.35">
      <c r="A15" s="25" t="s">
        <v>50</v>
      </c>
      <c r="B15" s="19" t="s">
        <v>51</v>
      </c>
      <c r="C15" s="23" t="s">
        <v>30</v>
      </c>
      <c r="D15" s="19" t="s">
        <v>54</v>
      </c>
      <c r="E15" s="23">
        <v>3</v>
      </c>
      <c r="F15" s="19" t="s">
        <v>412</v>
      </c>
      <c r="G15" s="19" t="s">
        <v>373</v>
      </c>
      <c r="H15" s="23">
        <v>10</v>
      </c>
      <c r="I15" s="23">
        <v>15</v>
      </c>
      <c r="J15" s="23" t="s">
        <v>374</v>
      </c>
      <c r="K15" s="23">
        <v>20</v>
      </c>
      <c r="L15" s="24">
        <f>$K15/INDEX('Indicator Master'!$N$4:$N$46,MATCH($A15,'Indicator Master'!$A$4:$A$46,0))*'Risk Bands (Config)'!$B$5</f>
        <v>57.142857142857139</v>
      </c>
      <c r="M15" s="23">
        <f>IF($K15=INDEX('Indicator Master'!$N$4:$N$46,MATCH($A15,'Indicator Master'!$A$4:$A$46,0)),1,0)</f>
        <v>0</v>
      </c>
      <c r="N15" s="25"/>
      <c r="O15" s="19" t="s">
        <v>413</v>
      </c>
      <c r="P15" s="19" t="s">
        <v>414</v>
      </c>
      <c r="Q15" s="19" t="s">
        <v>377</v>
      </c>
      <c r="R15" s="26" t="str">
        <f t="shared" si="0"/>
        <v>EWS-003|20</v>
      </c>
    </row>
    <row r="16" spans="1:18" ht="32.25" customHeight="1" x14ac:dyDescent="0.35">
      <c r="A16" s="25" t="s">
        <v>50</v>
      </c>
      <c r="B16" s="19" t="s">
        <v>51</v>
      </c>
      <c r="C16" s="23" t="s">
        <v>30</v>
      </c>
      <c r="D16" s="19" t="s">
        <v>54</v>
      </c>
      <c r="E16" s="23">
        <v>4</v>
      </c>
      <c r="F16" s="19" t="s">
        <v>415</v>
      </c>
      <c r="G16" s="19" t="s">
        <v>367</v>
      </c>
      <c r="H16" s="23">
        <v>15</v>
      </c>
      <c r="I16" s="23"/>
      <c r="J16" s="23" t="s">
        <v>416</v>
      </c>
      <c r="K16" s="23">
        <v>35</v>
      </c>
      <c r="L16" s="24">
        <f>$K16/INDEX('Indicator Master'!$N$4:$N$46,MATCH($A16,'Indicator Master'!$A$4:$A$46,0))*'Risk Bands (Config)'!$B$5</f>
        <v>100</v>
      </c>
      <c r="M16" s="23">
        <f>IF($K16=INDEX('Indicator Master'!$N$4:$N$46,MATCH($A16,'Indicator Master'!$A$4:$A$46,0)),1,0)</f>
        <v>1</v>
      </c>
      <c r="N16" s="25" t="s">
        <v>417</v>
      </c>
      <c r="O16" s="19" t="s">
        <v>418</v>
      </c>
      <c r="P16" s="19" t="s">
        <v>419</v>
      </c>
      <c r="Q16" s="19" t="s">
        <v>420</v>
      </c>
      <c r="R16" s="26" t="str">
        <f t="shared" si="0"/>
        <v>EWS-003|35</v>
      </c>
    </row>
    <row r="17" spans="1:18" ht="32.25" customHeight="1" x14ac:dyDescent="0.35">
      <c r="A17" s="23" t="s">
        <v>58</v>
      </c>
      <c r="B17" s="19" t="s">
        <v>59</v>
      </c>
      <c r="C17" s="23" t="s">
        <v>30</v>
      </c>
      <c r="D17" s="19" t="s">
        <v>61</v>
      </c>
      <c r="E17" s="23">
        <v>1</v>
      </c>
      <c r="F17" s="19" t="s">
        <v>421</v>
      </c>
      <c r="G17" s="19" t="s">
        <v>392</v>
      </c>
      <c r="H17" s="23">
        <v>0</v>
      </c>
      <c r="I17" s="23">
        <v>0</v>
      </c>
      <c r="J17" s="23" t="s">
        <v>393</v>
      </c>
      <c r="K17" s="23">
        <v>0</v>
      </c>
      <c r="L17" s="24">
        <f>$K17/INDEX('Indicator Master'!$N$4:$N$46,MATCH($A17,'Indicator Master'!$A$4:$A$46,0))*'Risk Bands (Config)'!$B$5</f>
        <v>0</v>
      </c>
      <c r="M17" s="23">
        <f>IF($K17=INDEX('Indicator Master'!$N$4:$N$46,MATCH($A17,'Indicator Master'!$A$4:$A$46,0)),1,0)</f>
        <v>0</v>
      </c>
      <c r="N17" s="25"/>
      <c r="O17" s="19" t="s">
        <v>422</v>
      </c>
      <c r="P17" s="19" t="s">
        <v>370</v>
      </c>
      <c r="Q17" s="19" t="s">
        <v>371</v>
      </c>
      <c r="R17" s="26" t="str">
        <f t="shared" si="0"/>
        <v>EWS-004|0</v>
      </c>
    </row>
    <row r="18" spans="1:18" ht="32.25" customHeight="1" x14ac:dyDescent="0.35">
      <c r="A18" s="23" t="s">
        <v>58</v>
      </c>
      <c r="B18" s="19" t="s">
        <v>59</v>
      </c>
      <c r="C18" s="23" t="s">
        <v>30</v>
      </c>
      <c r="D18" s="19" t="s">
        <v>61</v>
      </c>
      <c r="E18" s="23">
        <v>2</v>
      </c>
      <c r="F18" s="19" t="s">
        <v>423</v>
      </c>
      <c r="G18" s="19" t="s">
        <v>392</v>
      </c>
      <c r="H18" s="23">
        <v>1</v>
      </c>
      <c r="I18" s="23">
        <v>1</v>
      </c>
      <c r="J18" s="23" t="s">
        <v>393</v>
      </c>
      <c r="K18" s="23">
        <v>5</v>
      </c>
      <c r="L18" s="24">
        <f>$K18/INDEX('Indicator Master'!$N$4:$N$46,MATCH($A18,'Indicator Master'!$A$4:$A$46,0))*'Risk Bands (Config)'!$B$5</f>
        <v>20</v>
      </c>
      <c r="M18" s="23">
        <f>IF($K18=INDEX('Indicator Master'!$N$4:$N$46,MATCH($A18,'Indicator Master'!$A$4:$A$46,0)),1,0)</f>
        <v>0</v>
      </c>
      <c r="N18" s="25"/>
      <c r="O18" s="19" t="s">
        <v>424</v>
      </c>
      <c r="P18" s="19" t="s">
        <v>425</v>
      </c>
      <c r="Q18" s="19" t="s">
        <v>411</v>
      </c>
      <c r="R18" s="26" t="str">
        <f t="shared" si="0"/>
        <v>EWS-004|5</v>
      </c>
    </row>
    <row r="19" spans="1:18" ht="32.25" customHeight="1" x14ac:dyDescent="0.35">
      <c r="A19" s="23" t="s">
        <v>58</v>
      </c>
      <c r="B19" s="19" t="s">
        <v>59</v>
      </c>
      <c r="C19" s="23" t="s">
        <v>30</v>
      </c>
      <c r="D19" s="19" t="s">
        <v>61</v>
      </c>
      <c r="E19" s="23">
        <v>3</v>
      </c>
      <c r="F19" s="19" t="s">
        <v>391</v>
      </c>
      <c r="G19" s="19" t="s">
        <v>392</v>
      </c>
      <c r="H19" s="23">
        <v>2</v>
      </c>
      <c r="I19" s="23">
        <v>2</v>
      </c>
      <c r="J19" s="23" t="s">
        <v>393</v>
      </c>
      <c r="K19" s="23">
        <v>15</v>
      </c>
      <c r="L19" s="24">
        <f>$K19/INDEX('Indicator Master'!$N$4:$N$46,MATCH($A19,'Indicator Master'!$A$4:$A$46,0))*'Risk Bands (Config)'!$B$5</f>
        <v>60</v>
      </c>
      <c r="M19" s="23">
        <f>IF($K19=INDEX('Indicator Master'!$N$4:$N$46,MATCH($A19,'Indicator Master'!$A$4:$A$46,0)),1,0)</f>
        <v>0</v>
      </c>
      <c r="N19" s="25"/>
      <c r="O19" s="19" t="s">
        <v>426</v>
      </c>
      <c r="P19" s="19" t="s">
        <v>427</v>
      </c>
      <c r="Q19" s="19" t="s">
        <v>377</v>
      </c>
      <c r="R19" s="26" t="str">
        <f t="shared" si="0"/>
        <v>EWS-004|15</v>
      </c>
    </row>
    <row r="20" spans="1:18" ht="32.25" customHeight="1" x14ac:dyDescent="0.35">
      <c r="A20" s="23" t="s">
        <v>58</v>
      </c>
      <c r="B20" s="19" t="s">
        <v>59</v>
      </c>
      <c r="C20" s="23" t="s">
        <v>30</v>
      </c>
      <c r="D20" s="19" t="s">
        <v>61</v>
      </c>
      <c r="E20" s="23">
        <v>4</v>
      </c>
      <c r="F20" s="19" t="s">
        <v>428</v>
      </c>
      <c r="G20" s="19" t="s">
        <v>397</v>
      </c>
      <c r="H20" s="23">
        <v>3</v>
      </c>
      <c r="I20" s="23"/>
      <c r="J20" s="23" t="s">
        <v>398</v>
      </c>
      <c r="K20" s="23">
        <v>25</v>
      </c>
      <c r="L20" s="24">
        <f>$K20/INDEX('Indicator Master'!$N$4:$N$46,MATCH($A20,'Indicator Master'!$A$4:$A$46,0))*'Risk Bands (Config)'!$B$5</f>
        <v>100</v>
      </c>
      <c r="M20" s="23">
        <f>IF($K20=INDEX('Indicator Master'!$N$4:$N$46,MATCH($A20,'Indicator Master'!$A$4:$A$46,0)),1,0)</f>
        <v>1</v>
      </c>
      <c r="N20" s="25"/>
      <c r="O20" s="19" t="s">
        <v>429</v>
      </c>
      <c r="P20" s="19" t="s">
        <v>430</v>
      </c>
      <c r="Q20" s="19" t="s">
        <v>386</v>
      </c>
      <c r="R20" s="26" t="str">
        <f t="shared" si="0"/>
        <v>EWS-004|25</v>
      </c>
    </row>
    <row r="21" spans="1:18" ht="21.75" customHeight="1" x14ac:dyDescent="0.35">
      <c r="A21" s="23" t="s">
        <v>64</v>
      </c>
      <c r="B21" s="19" t="s">
        <v>65</v>
      </c>
      <c r="C21" s="23" t="s">
        <v>30</v>
      </c>
      <c r="D21" s="19" t="s">
        <v>67</v>
      </c>
      <c r="E21" s="23">
        <v>1</v>
      </c>
      <c r="F21" s="19" t="s">
        <v>431</v>
      </c>
      <c r="G21" s="19" t="s">
        <v>432</v>
      </c>
      <c r="H21" s="23"/>
      <c r="I21" s="23"/>
      <c r="J21" s="23" t="s">
        <v>403</v>
      </c>
      <c r="K21" s="23">
        <v>0</v>
      </c>
      <c r="L21" s="24">
        <f>$K21/INDEX('Indicator Master'!$N$4:$N$46,MATCH($A21,'Indicator Master'!$A$4:$A$46,0))*'Risk Bands (Config)'!$B$5</f>
        <v>0</v>
      </c>
      <c r="M21" s="23">
        <f>IF($K21=INDEX('Indicator Master'!$N$4:$N$46,MATCH($A21,'Indicator Master'!$A$4:$A$46,0)),1,0)</f>
        <v>0</v>
      </c>
      <c r="N21" s="25"/>
      <c r="O21" s="19" t="s">
        <v>433</v>
      </c>
      <c r="P21" s="19" t="s">
        <v>370</v>
      </c>
      <c r="Q21" s="19" t="s">
        <v>371</v>
      </c>
      <c r="R21" s="26" t="str">
        <f t="shared" si="0"/>
        <v>EWS-005|0</v>
      </c>
    </row>
    <row r="22" spans="1:18" ht="21.75" customHeight="1" x14ac:dyDescent="0.35">
      <c r="A22" s="23" t="s">
        <v>64</v>
      </c>
      <c r="B22" s="19" t="s">
        <v>65</v>
      </c>
      <c r="C22" s="23" t="s">
        <v>30</v>
      </c>
      <c r="D22" s="19" t="s">
        <v>67</v>
      </c>
      <c r="E22" s="23">
        <v>2</v>
      </c>
      <c r="F22" s="19" t="s">
        <v>434</v>
      </c>
      <c r="G22" s="19" t="s">
        <v>432</v>
      </c>
      <c r="H22" s="23"/>
      <c r="I22" s="23"/>
      <c r="J22" s="23" t="s">
        <v>403</v>
      </c>
      <c r="K22" s="23">
        <v>15</v>
      </c>
      <c r="L22" s="24">
        <f>$K22/INDEX('Indicator Master'!$N$4:$N$46,MATCH($A22,'Indicator Master'!$A$4:$A$46,0))*'Risk Bands (Config)'!$B$5</f>
        <v>37.5</v>
      </c>
      <c r="M22" s="23">
        <f>IF($K22=INDEX('Indicator Master'!$N$4:$N$46,MATCH($A22,'Indicator Master'!$A$4:$A$46,0)),1,0)</f>
        <v>0</v>
      </c>
      <c r="N22" s="25"/>
      <c r="O22" s="19" t="s">
        <v>435</v>
      </c>
      <c r="P22" s="19" t="s">
        <v>436</v>
      </c>
      <c r="Q22" s="19" t="s">
        <v>377</v>
      </c>
      <c r="R22" s="26" t="str">
        <f t="shared" si="0"/>
        <v>EWS-005|15</v>
      </c>
    </row>
    <row r="23" spans="1:18" ht="21.75" customHeight="1" x14ac:dyDescent="0.35">
      <c r="A23" s="23" t="s">
        <v>64</v>
      </c>
      <c r="B23" s="19" t="s">
        <v>65</v>
      </c>
      <c r="C23" s="23" t="s">
        <v>30</v>
      </c>
      <c r="D23" s="19" t="s">
        <v>67</v>
      </c>
      <c r="E23" s="23">
        <v>3</v>
      </c>
      <c r="F23" s="19" t="s">
        <v>437</v>
      </c>
      <c r="G23" s="19" t="s">
        <v>432</v>
      </c>
      <c r="H23" s="23"/>
      <c r="I23" s="23"/>
      <c r="J23" s="23" t="s">
        <v>403</v>
      </c>
      <c r="K23" s="23">
        <v>30</v>
      </c>
      <c r="L23" s="24">
        <f>$K23/INDEX('Indicator Master'!$N$4:$N$46,MATCH($A23,'Indicator Master'!$A$4:$A$46,0))*'Risk Bands (Config)'!$B$5</f>
        <v>75</v>
      </c>
      <c r="M23" s="23">
        <f>IF($K23=INDEX('Indicator Master'!$N$4:$N$46,MATCH($A23,'Indicator Master'!$A$4:$A$46,0)),1,0)</f>
        <v>0</v>
      </c>
      <c r="N23" s="25"/>
      <c r="O23" s="19" t="s">
        <v>438</v>
      </c>
      <c r="P23" s="19" t="s">
        <v>439</v>
      </c>
      <c r="Q23" s="19" t="s">
        <v>440</v>
      </c>
      <c r="R23" s="26" t="str">
        <f t="shared" si="0"/>
        <v>EWS-005|30</v>
      </c>
    </row>
    <row r="24" spans="1:18" ht="21.75" customHeight="1" x14ac:dyDescent="0.35">
      <c r="A24" s="23" t="s">
        <v>64</v>
      </c>
      <c r="B24" s="19" t="s">
        <v>65</v>
      </c>
      <c r="C24" s="23" t="s">
        <v>30</v>
      </c>
      <c r="D24" s="19" t="s">
        <v>67</v>
      </c>
      <c r="E24" s="23">
        <v>4</v>
      </c>
      <c r="F24" s="19" t="s">
        <v>441</v>
      </c>
      <c r="G24" s="19" t="s">
        <v>432</v>
      </c>
      <c r="H24" s="23"/>
      <c r="I24" s="23"/>
      <c r="J24" s="23" t="s">
        <v>403</v>
      </c>
      <c r="K24" s="23">
        <v>40</v>
      </c>
      <c r="L24" s="24">
        <f>$K24/INDEX('Indicator Master'!$N$4:$N$46,MATCH($A24,'Indicator Master'!$A$4:$A$46,0))*'Risk Bands (Config)'!$B$5</f>
        <v>100</v>
      </c>
      <c r="M24" s="23">
        <f>IF($K24=INDEX('Indicator Master'!$N$4:$N$46,MATCH($A24,'Indicator Master'!$A$4:$A$46,0)),1,0)</f>
        <v>1</v>
      </c>
      <c r="N24" s="25"/>
      <c r="O24" s="19" t="s">
        <v>442</v>
      </c>
      <c r="P24" s="19" t="s">
        <v>443</v>
      </c>
      <c r="Q24" s="19" t="s">
        <v>420</v>
      </c>
      <c r="R24" s="26" t="str">
        <f t="shared" si="0"/>
        <v>EWS-005|40</v>
      </c>
    </row>
    <row r="25" spans="1:18" ht="21.75" customHeight="1" x14ac:dyDescent="0.35">
      <c r="A25" s="23" t="s">
        <v>71</v>
      </c>
      <c r="B25" s="19" t="s">
        <v>72</v>
      </c>
      <c r="C25" s="23" t="s">
        <v>30</v>
      </c>
      <c r="D25" s="19" t="s">
        <v>75</v>
      </c>
      <c r="E25" s="23">
        <v>1</v>
      </c>
      <c r="F25" s="19" t="s">
        <v>444</v>
      </c>
      <c r="G25" s="19" t="s">
        <v>367</v>
      </c>
      <c r="H25" s="23"/>
      <c r="I25" s="23">
        <v>0</v>
      </c>
      <c r="J25" s="23" t="s">
        <v>445</v>
      </c>
      <c r="K25" s="23">
        <v>0</v>
      </c>
      <c r="L25" s="24">
        <f>$K25/INDEX('Indicator Master'!$N$4:$N$46,MATCH($A25,'Indicator Master'!$A$4:$A$46,0))*'Risk Bands (Config)'!$B$5</f>
        <v>0</v>
      </c>
      <c r="M25" s="23">
        <f>IF($K25=INDEX('Indicator Master'!$N$4:$N$46,MATCH($A25,'Indicator Master'!$A$4:$A$46,0)),1,0)</f>
        <v>0</v>
      </c>
      <c r="N25" s="25"/>
      <c r="O25" s="19" t="s">
        <v>446</v>
      </c>
      <c r="P25" s="19" t="s">
        <v>370</v>
      </c>
      <c r="Q25" s="19" t="s">
        <v>371</v>
      </c>
      <c r="R25" s="26" t="str">
        <f t="shared" si="0"/>
        <v>EWS-006|0</v>
      </c>
    </row>
    <row r="26" spans="1:18" ht="21.75" customHeight="1" x14ac:dyDescent="0.35">
      <c r="A26" s="23" t="s">
        <v>71</v>
      </c>
      <c r="B26" s="19" t="s">
        <v>72</v>
      </c>
      <c r="C26" s="23" t="s">
        <v>30</v>
      </c>
      <c r="D26" s="19" t="s">
        <v>75</v>
      </c>
      <c r="E26" s="23">
        <v>2</v>
      </c>
      <c r="F26" s="19" t="s">
        <v>447</v>
      </c>
      <c r="G26" s="19" t="s">
        <v>373</v>
      </c>
      <c r="H26" s="23">
        <v>0</v>
      </c>
      <c r="I26" s="23">
        <v>10</v>
      </c>
      <c r="J26" s="23" t="s">
        <v>448</v>
      </c>
      <c r="K26" s="23">
        <v>10</v>
      </c>
      <c r="L26" s="24">
        <f>$K26/INDEX('Indicator Master'!$N$4:$N$46,MATCH($A26,'Indicator Master'!$A$4:$A$46,0))*'Risk Bands (Config)'!$B$5</f>
        <v>33.333333333333329</v>
      </c>
      <c r="M26" s="23">
        <f>IF($K26=INDEX('Indicator Master'!$N$4:$N$46,MATCH($A26,'Indicator Master'!$A$4:$A$46,0)),1,0)</f>
        <v>0</v>
      </c>
      <c r="N26" s="25"/>
      <c r="O26" s="19" t="s">
        <v>449</v>
      </c>
      <c r="P26" s="19" t="s">
        <v>450</v>
      </c>
      <c r="Q26" s="19" t="s">
        <v>377</v>
      </c>
      <c r="R26" s="26" t="str">
        <f t="shared" si="0"/>
        <v>EWS-006|10</v>
      </c>
    </row>
    <row r="27" spans="1:18" ht="21.75" customHeight="1" x14ac:dyDescent="0.35">
      <c r="A27" s="23" t="s">
        <v>71</v>
      </c>
      <c r="B27" s="19" t="s">
        <v>72</v>
      </c>
      <c r="C27" s="23" t="s">
        <v>30</v>
      </c>
      <c r="D27" s="19" t="s">
        <v>75</v>
      </c>
      <c r="E27" s="23">
        <v>3</v>
      </c>
      <c r="F27" s="19" t="s">
        <v>451</v>
      </c>
      <c r="G27" s="19" t="s">
        <v>373</v>
      </c>
      <c r="H27" s="23">
        <v>10</v>
      </c>
      <c r="I27" s="23">
        <v>20</v>
      </c>
      <c r="J27" s="23" t="s">
        <v>448</v>
      </c>
      <c r="K27" s="23">
        <v>20</v>
      </c>
      <c r="L27" s="24">
        <f>$K27/INDEX('Indicator Master'!$N$4:$N$46,MATCH($A27,'Indicator Master'!$A$4:$A$46,0))*'Risk Bands (Config)'!$B$5</f>
        <v>66.666666666666657</v>
      </c>
      <c r="M27" s="23">
        <f>IF($K27=INDEX('Indicator Master'!$N$4:$N$46,MATCH($A27,'Indicator Master'!$A$4:$A$46,0)),1,0)</f>
        <v>0</v>
      </c>
      <c r="N27" s="25"/>
      <c r="O27" s="19" t="s">
        <v>452</v>
      </c>
      <c r="P27" s="19" t="s">
        <v>453</v>
      </c>
      <c r="Q27" s="19" t="s">
        <v>381</v>
      </c>
      <c r="R27" s="26" t="str">
        <f t="shared" si="0"/>
        <v>EWS-006|20</v>
      </c>
    </row>
    <row r="28" spans="1:18" ht="21.75" customHeight="1" x14ac:dyDescent="0.35">
      <c r="A28" s="23" t="s">
        <v>71</v>
      </c>
      <c r="B28" s="19" t="s">
        <v>72</v>
      </c>
      <c r="C28" s="23" t="s">
        <v>30</v>
      </c>
      <c r="D28" s="19" t="s">
        <v>75</v>
      </c>
      <c r="E28" s="23">
        <v>4</v>
      </c>
      <c r="F28" s="19" t="s">
        <v>454</v>
      </c>
      <c r="G28" s="19" t="s">
        <v>367</v>
      </c>
      <c r="H28" s="23">
        <v>20</v>
      </c>
      <c r="I28" s="23"/>
      <c r="J28" s="23" t="s">
        <v>416</v>
      </c>
      <c r="K28" s="23">
        <v>30</v>
      </c>
      <c r="L28" s="24">
        <f>$K28/INDEX('Indicator Master'!$N$4:$N$46,MATCH($A28,'Indicator Master'!$A$4:$A$46,0))*'Risk Bands (Config)'!$B$5</f>
        <v>100</v>
      </c>
      <c r="M28" s="23">
        <f>IF($K28=INDEX('Indicator Master'!$N$4:$N$46,MATCH($A28,'Indicator Master'!$A$4:$A$46,0)),1,0)</f>
        <v>1</v>
      </c>
      <c r="N28" s="25"/>
      <c r="O28" s="19" t="s">
        <v>455</v>
      </c>
      <c r="P28" s="19" t="s">
        <v>456</v>
      </c>
      <c r="Q28" s="19" t="s">
        <v>386</v>
      </c>
      <c r="R28" s="26" t="str">
        <f t="shared" si="0"/>
        <v>EWS-006|30</v>
      </c>
    </row>
    <row r="29" spans="1:18" ht="21.75" customHeight="1" x14ac:dyDescent="0.35">
      <c r="A29" s="25" t="s">
        <v>81</v>
      </c>
      <c r="B29" s="19" t="s">
        <v>82</v>
      </c>
      <c r="C29" s="23" t="s">
        <v>30</v>
      </c>
      <c r="D29" s="19" t="s">
        <v>85</v>
      </c>
      <c r="E29" s="23">
        <v>1</v>
      </c>
      <c r="F29" s="19" t="s">
        <v>406</v>
      </c>
      <c r="G29" s="19" t="s">
        <v>367</v>
      </c>
      <c r="H29" s="23"/>
      <c r="I29" s="23">
        <v>5</v>
      </c>
      <c r="J29" s="23" t="s">
        <v>368</v>
      </c>
      <c r="K29" s="23">
        <v>0</v>
      </c>
      <c r="L29" s="24">
        <f>$K29/INDEX('Indicator Master'!$N$4:$N$46,MATCH($A29,'Indicator Master'!$A$4:$A$46,0))*'Risk Bands (Config)'!$B$5</f>
        <v>0</v>
      </c>
      <c r="M29" s="23">
        <f>IF($K29=INDEX('Indicator Master'!$N$4:$N$46,MATCH($A29,'Indicator Master'!$A$4:$A$46,0)),1,0)</f>
        <v>0</v>
      </c>
      <c r="N29" s="25"/>
      <c r="O29" s="19" t="s">
        <v>457</v>
      </c>
      <c r="P29" s="19" t="s">
        <v>370</v>
      </c>
      <c r="Q29" s="19" t="s">
        <v>371</v>
      </c>
      <c r="R29" s="26" t="str">
        <f t="shared" si="0"/>
        <v>EWS-007|0</v>
      </c>
    </row>
    <row r="30" spans="1:18" ht="21.75" customHeight="1" x14ac:dyDescent="0.35">
      <c r="A30" s="25" t="s">
        <v>81</v>
      </c>
      <c r="B30" s="19" t="s">
        <v>82</v>
      </c>
      <c r="C30" s="23" t="s">
        <v>30</v>
      </c>
      <c r="D30" s="19" t="s">
        <v>85</v>
      </c>
      <c r="E30" s="23">
        <v>2</v>
      </c>
      <c r="F30" s="19" t="s">
        <v>408</v>
      </c>
      <c r="G30" s="19" t="s">
        <v>373</v>
      </c>
      <c r="H30" s="23">
        <v>5</v>
      </c>
      <c r="I30" s="23">
        <v>10</v>
      </c>
      <c r="J30" s="23" t="s">
        <v>374</v>
      </c>
      <c r="K30" s="23">
        <v>10</v>
      </c>
      <c r="L30" s="24">
        <f>$K30/INDEX('Indicator Master'!$N$4:$N$46,MATCH($A30,'Indicator Master'!$A$4:$A$46,0))*'Risk Bands (Config)'!$B$5</f>
        <v>28.571428571428569</v>
      </c>
      <c r="M30" s="23">
        <f>IF($K30=INDEX('Indicator Master'!$N$4:$N$46,MATCH($A30,'Indicator Master'!$A$4:$A$46,0)),1,0)</f>
        <v>0</v>
      </c>
      <c r="N30" s="25"/>
      <c r="O30" s="19" t="s">
        <v>458</v>
      </c>
      <c r="P30" s="19" t="s">
        <v>459</v>
      </c>
      <c r="Q30" s="19" t="s">
        <v>411</v>
      </c>
      <c r="R30" s="26" t="str">
        <f t="shared" si="0"/>
        <v>EWS-007|10</v>
      </c>
    </row>
    <row r="31" spans="1:18" ht="21.75" customHeight="1" x14ac:dyDescent="0.35">
      <c r="A31" s="25" t="s">
        <v>81</v>
      </c>
      <c r="B31" s="19" t="s">
        <v>82</v>
      </c>
      <c r="C31" s="23" t="s">
        <v>30</v>
      </c>
      <c r="D31" s="19" t="s">
        <v>85</v>
      </c>
      <c r="E31" s="23">
        <v>3</v>
      </c>
      <c r="F31" s="19" t="s">
        <v>412</v>
      </c>
      <c r="G31" s="19" t="s">
        <v>373</v>
      </c>
      <c r="H31" s="23">
        <v>10</v>
      </c>
      <c r="I31" s="23">
        <v>15</v>
      </c>
      <c r="J31" s="23" t="s">
        <v>374</v>
      </c>
      <c r="K31" s="23">
        <v>20</v>
      </c>
      <c r="L31" s="24">
        <f>$K31/INDEX('Indicator Master'!$N$4:$N$46,MATCH($A31,'Indicator Master'!$A$4:$A$46,0))*'Risk Bands (Config)'!$B$5</f>
        <v>57.142857142857139</v>
      </c>
      <c r="M31" s="23">
        <f>IF($K31=INDEX('Indicator Master'!$N$4:$N$46,MATCH($A31,'Indicator Master'!$A$4:$A$46,0)),1,0)</f>
        <v>0</v>
      </c>
      <c r="N31" s="25"/>
      <c r="O31" s="19" t="s">
        <v>460</v>
      </c>
      <c r="P31" s="19" t="s">
        <v>461</v>
      </c>
      <c r="Q31" s="19" t="s">
        <v>377</v>
      </c>
      <c r="R31" s="26" t="str">
        <f t="shared" si="0"/>
        <v>EWS-007|20</v>
      </c>
    </row>
    <row r="32" spans="1:18" ht="21.75" customHeight="1" x14ac:dyDescent="0.35">
      <c r="A32" s="25" t="s">
        <v>81</v>
      </c>
      <c r="B32" s="19" t="s">
        <v>82</v>
      </c>
      <c r="C32" s="23" t="s">
        <v>30</v>
      </c>
      <c r="D32" s="19" t="s">
        <v>85</v>
      </c>
      <c r="E32" s="23">
        <v>4</v>
      </c>
      <c r="F32" s="19" t="s">
        <v>415</v>
      </c>
      <c r="G32" s="19" t="s">
        <v>367</v>
      </c>
      <c r="H32" s="23">
        <v>15</v>
      </c>
      <c r="I32" s="23"/>
      <c r="J32" s="23" t="s">
        <v>416</v>
      </c>
      <c r="K32" s="23">
        <v>35</v>
      </c>
      <c r="L32" s="24">
        <f>$K32/INDEX('Indicator Master'!$N$4:$N$46,MATCH($A32,'Indicator Master'!$A$4:$A$46,0))*'Risk Bands (Config)'!$B$5</f>
        <v>100</v>
      </c>
      <c r="M32" s="23">
        <f>IF($K32=INDEX('Indicator Master'!$N$4:$N$46,MATCH($A32,'Indicator Master'!$A$4:$A$46,0)),1,0)</f>
        <v>1</v>
      </c>
      <c r="N32" s="25" t="s">
        <v>417</v>
      </c>
      <c r="O32" s="19" t="s">
        <v>462</v>
      </c>
      <c r="P32" s="19" t="s">
        <v>463</v>
      </c>
      <c r="Q32" s="19" t="s">
        <v>386</v>
      </c>
      <c r="R32" s="26" t="str">
        <f t="shared" si="0"/>
        <v>EWS-007|35</v>
      </c>
    </row>
    <row r="33" spans="1:18" ht="21.75" customHeight="1" x14ac:dyDescent="0.35">
      <c r="A33" s="23" t="s">
        <v>87</v>
      </c>
      <c r="B33" s="19" t="s">
        <v>88</v>
      </c>
      <c r="C33" s="23" t="s">
        <v>30</v>
      </c>
      <c r="D33" s="19" t="s">
        <v>90</v>
      </c>
      <c r="E33" s="23">
        <v>1</v>
      </c>
      <c r="F33" s="19" t="s">
        <v>406</v>
      </c>
      <c r="G33" s="19" t="s">
        <v>367</v>
      </c>
      <c r="H33" s="23"/>
      <c r="I33" s="23">
        <v>5</v>
      </c>
      <c r="J33" s="23" t="s">
        <v>368</v>
      </c>
      <c r="K33" s="23">
        <v>0</v>
      </c>
      <c r="L33" s="24">
        <f>$K33/INDEX('Indicator Master'!$N$4:$N$46,MATCH($A33,'Indicator Master'!$A$4:$A$46,0))*'Risk Bands (Config)'!$B$5</f>
        <v>0</v>
      </c>
      <c r="M33" s="23">
        <f>IF($K33=INDEX('Indicator Master'!$N$4:$N$46,MATCH($A33,'Indicator Master'!$A$4:$A$46,0)),1,0)</f>
        <v>0</v>
      </c>
      <c r="N33" s="25"/>
      <c r="O33" s="19" t="s">
        <v>464</v>
      </c>
      <c r="P33" s="19" t="s">
        <v>370</v>
      </c>
      <c r="Q33" s="19" t="s">
        <v>371</v>
      </c>
      <c r="R33" s="26" t="str">
        <f t="shared" si="0"/>
        <v>EWS-008|0</v>
      </c>
    </row>
    <row r="34" spans="1:18" ht="21.75" customHeight="1" x14ac:dyDescent="0.35">
      <c r="A34" s="23" t="s">
        <v>87</v>
      </c>
      <c r="B34" s="19" t="s">
        <v>88</v>
      </c>
      <c r="C34" s="23" t="s">
        <v>30</v>
      </c>
      <c r="D34" s="19" t="s">
        <v>90</v>
      </c>
      <c r="E34" s="23">
        <v>2</v>
      </c>
      <c r="F34" s="19" t="s">
        <v>408</v>
      </c>
      <c r="G34" s="19" t="s">
        <v>373</v>
      </c>
      <c r="H34" s="23">
        <v>5</v>
      </c>
      <c r="I34" s="23">
        <v>10</v>
      </c>
      <c r="J34" s="23" t="s">
        <v>374</v>
      </c>
      <c r="K34" s="23">
        <v>10</v>
      </c>
      <c r="L34" s="24">
        <f>$K34/INDEX('Indicator Master'!$N$4:$N$46,MATCH($A34,'Indicator Master'!$A$4:$A$46,0))*'Risk Bands (Config)'!$B$5</f>
        <v>28.571428571428569</v>
      </c>
      <c r="M34" s="23">
        <f>IF($K34=INDEX('Indicator Master'!$N$4:$N$46,MATCH($A34,'Indicator Master'!$A$4:$A$46,0)),1,0)</f>
        <v>0</v>
      </c>
      <c r="N34" s="25"/>
      <c r="O34" s="19" t="s">
        <v>465</v>
      </c>
      <c r="P34" s="19" t="s">
        <v>466</v>
      </c>
      <c r="Q34" s="19" t="s">
        <v>411</v>
      </c>
      <c r="R34" s="26" t="str">
        <f t="shared" si="0"/>
        <v>EWS-008|10</v>
      </c>
    </row>
    <row r="35" spans="1:18" ht="21.75" customHeight="1" x14ac:dyDescent="0.35">
      <c r="A35" s="23" t="s">
        <v>87</v>
      </c>
      <c r="B35" s="19" t="s">
        <v>88</v>
      </c>
      <c r="C35" s="23" t="s">
        <v>30</v>
      </c>
      <c r="D35" s="19" t="s">
        <v>90</v>
      </c>
      <c r="E35" s="23">
        <v>3</v>
      </c>
      <c r="F35" s="19" t="s">
        <v>412</v>
      </c>
      <c r="G35" s="19" t="s">
        <v>373</v>
      </c>
      <c r="H35" s="23">
        <v>10</v>
      </c>
      <c r="I35" s="23">
        <v>15</v>
      </c>
      <c r="J35" s="23" t="s">
        <v>374</v>
      </c>
      <c r="K35" s="23">
        <v>20</v>
      </c>
      <c r="L35" s="24">
        <f>$K35/INDEX('Indicator Master'!$N$4:$N$46,MATCH($A35,'Indicator Master'!$A$4:$A$46,0))*'Risk Bands (Config)'!$B$5</f>
        <v>57.142857142857139</v>
      </c>
      <c r="M35" s="23">
        <f>IF($K35=INDEX('Indicator Master'!$N$4:$N$46,MATCH($A35,'Indicator Master'!$A$4:$A$46,0)),1,0)</f>
        <v>0</v>
      </c>
      <c r="N35" s="25"/>
      <c r="O35" s="19" t="s">
        <v>467</v>
      </c>
      <c r="P35" s="19" t="s">
        <v>468</v>
      </c>
      <c r="Q35" s="19" t="s">
        <v>377</v>
      </c>
      <c r="R35" s="26" t="str">
        <f t="shared" si="0"/>
        <v>EWS-008|20</v>
      </c>
    </row>
    <row r="36" spans="1:18" ht="21.75" customHeight="1" x14ac:dyDescent="0.35">
      <c r="A36" s="23" t="s">
        <v>87</v>
      </c>
      <c r="B36" s="19" t="s">
        <v>88</v>
      </c>
      <c r="C36" s="23" t="s">
        <v>30</v>
      </c>
      <c r="D36" s="19" t="s">
        <v>90</v>
      </c>
      <c r="E36" s="23">
        <v>4</v>
      </c>
      <c r="F36" s="19" t="s">
        <v>415</v>
      </c>
      <c r="G36" s="19" t="s">
        <v>367</v>
      </c>
      <c r="H36" s="23">
        <v>15</v>
      </c>
      <c r="I36" s="23"/>
      <c r="J36" s="23" t="s">
        <v>469</v>
      </c>
      <c r="K36" s="23">
        <v>35</v>
      </c>
      <c r="L36" s="24">
        <f>$K36/INDEX('Indicator Master'!$N$4:$N$46,MATCH($A36,'Indicator Master'!$A$4:$A$46,0))*'Risk Bands (Config)'!$B$5</f>
        <v>100</v>
      </c>
      <c r="M36" s="23">
        <f>IF($K36=INDEX('Indicator Master'!$N$4:$N$46,MATCH($A36,'Indicator Master'!$A$4:$A$46,0)),1,0)</f>
        <v>1</v>
      </c>
      <c r="N36" s="25"/>
      <c r="O36" s="19" t="s">
        <v>470</v>
      </c>
      <c r="P36" s="19" t="s">
        <v>471</v>
      </c>
      <c r="Q36" s="19" t="s">
        <v>386</v>
      </c>
      <c r="R36" s="26" t="str">
        <f t="shared" si="0"/>
        <v>EWS-008|35</v>
      </c>
    </row>
    <row r="37" spans="1:18" ht="21.75" customHeight="1" x14ac:dyDescent="0.35">
      <c r="A37" s="23" t="s">
        <v>92</v>
      </c>
      <c r="B37" s="19" t="s">
        <v>93</v>
      </c>
      <c r="C37" s="23" t="s">
        <v>30</v>
      </c>
      <c r="D37" s="19" t="s">
        <v>95</v>
      </c>
      <c r="E37" s="23">
        <v>1</v>
      </c>
      <c r="F37" s="19" t="s">
        <v>472</v>
      </c>
      <c r="G37" s="19" t="s">
        <v>473</v>
      </c>
      <c r="H37" s="23">
        <v>0</v>
      </c>
      <c r="I37" s="23">
        <v>0</v>
      </c>
      <c r="J37" s="23" t="s">
        <v>393</v>
      </c>
      <c r="K37" s="23">
        <v>0</v>
      </c>
      <c r="L37" s="24">
        <f>$K37/INDEX('Indicator Master'!$N$4:$N$46,MATCH($A37,'Indicator Master'!$A$4:$A$46,0))*'Risk Bands (Config)'!$B$5</f>
        <v>0</v>
      </c>
      <c r="M37" s="23">
        <f>IF($K37=INDEX('Indicator Master'!$N$4:$N$46,MATCH($A37,'Indicator Master'!$A$4:$A$46,0)),1,0)</f>
        <v>0</v>
      </c>
      <c r="N37" s="25"/>
      <c r="O37" s="19" t="s">
        <v>474</v>
      </c>
      <c r="P37" s="19" t="s">
        <v>370</v>
      </c>
      <c r="Q37" s="19" t="s">
        <v>371</v>
      </c>
      <c r="R37" s="26" t="str">
        <f t="shared" ref="R37:R68" si="1">$A37&amp;"|"&amp;$K37</f>
        <v>EWS-009|0</v>
      </c>
    </row>
    <row r="38" spans="1:18" ht="21.75" customHeight="1" x14ac:dyDescent="0.35">
      <c r="A38" s="23" t="s">
        <v>92</v>
      </c>
      <c r="B38" s="19" t="s">
        <v>93</v>
      </c>
      <c r="C38" s="23" t="s">
        <v>30</v>
      </c>
      <c r="D38" s="19" t="s">
        <v>95</v>
      </c>
      <c r="E38" s="23">
        <v>2</v>
      </c>
      <c r="F38" s="19" t="s">
        <v>475</v>
      </c>
      <c r="G38" s="19" t="s">
        <v>473</v>
      </c>
      <c r="H38" s="23"/>
      <c r="I38" s="23">
        <v>10</v>
      </c>
      <c r="J38" s="23" t="s">
        <v>368</v>
      </c>
      <c r="K38" s="23">
        <v>10</v>
      </c>
      <c r="L38" s="24">
        <f>$K38/INDEX('Indicator Master'!$N$4:$N$46,MATCH($A38,'Indicator Master'!$A$4:$A$46,0))*'Risk Bands (Config)'!$B$5</f>
        <v>33.333333333333329</v>
      </c>
      <c r="M38" s="23">
        <f>IF($K38=INDEX('Indicator Master'!$N$4:$N$46,MATCH($A38,'Indicator Master'!$A$4:$A$46,0)),1,0)</f>
        <v>0</v>
      </c>
      <c r="N38" s="25"/>
      <c r="O38" s="19" t="s">
        <v>476</v>
      </c>
      <c r="P38" s="19" t="s">
        <v>477</v>
      </c>
      <c r="Q38" s="19" t="s">
        <v>377</v>
      </c>
      <c r="R38" s="26" t="str">
        <f t="shared" si="1"/>
        <v>EWS-009|10</v>
      </c>
    </row>
    <row r="39" spans="1:18" ht="21.75" customHeight="1" x14ac:dyDescent="0.35">
      <c r="A39" s="23" t="s">
        <v>92</v>
      </c>
      <c r="B39" s="19" t="s">
        <v>93</v>
      </c>
      <c r="C39" s="23" t="s">
        <v>30</v>
      </c>
      <c r="D39" s="19" t="s">
        <v>95</v>
      </c>
      <c r="E39" s="23">
        <v>3</v>
      </c>
      <c r="F39" s="19" t="s">
        <v>478</v>
      </c>
      <c r="G39" s="19" t="s">
        <v>479</v>
      </c>
      <c r="H39" s="23">
        <v>10</v>
      </c>
      <c r="I39" s="23">
        <v>20</v>
      </c>
      <c r="J39" s="23" t="s">
        <v>374</v>
      </c>
      <c r="K39" s="23">
        <v>20</v>
      </c>
      <c r="L39" s="24">
        <f>$K39/INDEX('Indicator Master'!$N$4:$N$46,MATCH($A39,'Indicator Master'!$A$4:$A$46,0))*'Risk Bands (Config)'!$B$5</f>
        <v>66.666666666666657</v>
      </c>
      <c r="M39" s="23">
        <f>IF($K39=INDEX('Indicator Master'!$N$4:$N$46,MATCH($A39,'Indicator Master'!$A$4:$A$46,0)),1,0)</f>
        <v>0</v>
      </c>
      <c r="N39" s="25"/>
      <c r="O39" s="19" t="s">
        <v>480</v>
      </c>
      <c r="P39" s="19" t="s">
        <v>481</v>
      </c>
      <c r="Q39" s="19" t="s">
        <v>381</v>
      </c>
      <c r="R39" s="26" t="str">
        <f t="shared" si="1"/>
        <v>EWS-009|20</v>
      </c>
    </row>
    <row r="40" spans="1:18" ht="32.25" customHeight="1" x14ac:dyDescent="0.35">
      <c r="A40" s="23" t="s">
        <v>92</v>
      </c>
      <c r="B40" s="19" t="s">
        <v>93</v>
      </c>
      <c r="C40" s="23" t="s">
        <v>30</v>
      </c>
      <c r="D40" s="19" t="s">
        <v>95</v>
      </c>
      <c r="E40" s="23">
        <v>4</v>
      </c>
      <c r="F40" s="19" t="s">
        <v>482</v>
      </c>
      <c r="G40" s="19" t="s">
        <v>473</v>
      </c>
      <c r="H40" s="23">
        <v>60</v>
      </c>
      <c r="I40" s="23"/>
      <c r="J40" s="23" t="s">
        <v>398</v>
      </c>
      <c r="K40" s="23">
        <v>30</v>
      </c>
      <c r="L40" s="24">
        <f>$K40/INDEX('Indicator Master'!$N$4:$N$46,MATCH($A40,'Indicator Master'!$A$4:$A$46,0))*'Risk Bands (Config)'!$B$5</f>
        <v>100</v>
      </c>
      <c r="M40" s="23">
        <f>IF($K40=INDEX('Indicator Master'!$N$4:$N$46,MATCH($A40,'Indicator Master'!$A$4:$A$46,0)),1,0)</f>
        <v>1</v>
      </c>
      <c r="N40" s="25"/>
      <c r="O40" s="19" t="s">
        <v>483</v>
      </c>
      <c r="P40" s="19" t="s">
        <v>484</v>
      </c>
      <c r="Q40" s="19" t="s">
        <v>386</v>
      </c>
      <c r="R40" s="26" t="str">
        <f t="shared" si="1"/>
        <v>EWS-009|30</v>
      </c>
    </row>
    <row r="41" spans="1:18" ht="21.75" customHeight="1" x14ac:dyDescent="0.35">
      <c r="A41" s="23" t="s">
        <v>98</v>
      </c>
      <c r="B41" s="19" t="s">
        <v>99</v>
      </c>
      <c r="C41" s="23" t="s">
        <v>30</v>
      </c>
      <c r="D41" s="19" t="s">
        <v>101</v>
      </c>
      <c r="E41" s="23">
        <v>1</v>
      </c>
      <c r="F41" s="19" t="s">
        <v>485</v>
      </c>
      <c r="G41" s="19" t="s">
        <v>473</v>
      </c>
      <c r="H41" s="23"/>
      <c r="I41" s="23">
        <v>15</v>
      </c>
      <c r="J41" s="23" t="s">
        <v>368</v>
      </c>
      <c r="K41" s="23">
        <v>0</v>
      </c>
      <c r="L41" s="24">
        <f>$K41/INDEX('Indicator Master'!$N$4:$N$46,MATCH($A41,'Indicator Master'!$A$4:$A$46,0))*'Risk Bands (Config)'!$B$5</f>
        <v>0</v>
      </c>
      <c r="M41" s="23">
        <f>IF($K41=INDEX('Indicator Master'!$N$4:$N$46,MATCH($A41,'Indicator Master'!$A$4:$A$46,0)),1,0)</f>
        <v>0</v>
      </c>
      <c r="N41" s="25"/>
      <c r="O41" s="19" t="s">
        <v>486</v>
      </c>
      <c r="P41" s="19" t="s">
        <v>370</v>
      </c>
      <c r="Q41" s="19" t="s">
        <v>371</v>
      </c>
      <c r="R41" s="26" t="str">
        <f t="shared" si="1"/>
        <v>EWS-010|0</v>
      </c>
    </row>
    <row r="42" spans="1:18" ht="21.75" customHeight="1" x14ac:dyDescent="0.35">
      <c r="A42" s="23" t="s">
        <v>98</v>
      </c>
      <c r="B42" s="19" t="s">
        <v>99</v>
      </c>
      <c r="C42" s="23" t="s">
        <v>30</v>
      </c>
      <c r="D42" s="19" t="s">
        <v>101</v>
      </c>
      <c r="E42" s="23">
        <v>2</v>
      </c>
      <c r="F42" s="19" t="s">
        <v>487</v>
      </c>
      <c r="G42" s="19" t="s">
        <v>479</v>
      </c>
      <c r="H42" s="23">
        <v>15</v>
      </c>
      <c r="I42" s="23">
        <v>30</v>
      </c>
      <c r="J42" s="23" t="s">
        <v>374</v>
      </c>
      <c r="K42" s="23">
        <v>10</v>
      </c>
      <c r="L42" s="24">
        <f>$K42/INDEX('Indicator Master'!$N$4:$N$46,MATCH($A42,'Indicator Master'!$A$4:$A$46,0))*'Risk Bands (Config)'!$B$5</f>
        <v>33.333333333333329</v>
      </c>
      <c r="M42" s="23">
        <f>IF($K42=INDEX('Indicator Master'!$N$4:$N$46,MATCH($A42,'Indicator Master'!$A$4:$A$46,0)),1,0)</f>
        <v>0</v>
      </c>
      <c r="N42" s="25"/>
      <c r="O42" s="19" t="s">
        <v>488</v>
      </c>
      <c r="P42" s="19" t="s">
        <v>489</v>
      </c>
      <c r="Q42" s="19" t="s">
        <v>377</v>
      </c>
      <c r="R42" s="26" t="str">
        <f t="shared" si="1"/>
        <v>EWS-010|10</v>
      </c>
    </row>
    <row r="43" spans="1:18" ht="21.75" customHeight="1" x14ac:dyDescent="0.35">
      <c r="A43" s="23" t="s">
        <v>98</v>
      </c>
      <c r="B43" s="19" t="s">
        <v>99</v>
      </c>
      <c r="C43" s="23" t="s">
        <v>30</v>
      </c>
      <c r="D43" s="19" t="s">
        <v>101</v>
      </c>
      <c r="E43" s="23">
        <v>3</v>
      </c>
      <c r="F43" s="19" t="s">
        <v>490</v>
      </c>
      <c r="G43" s="19" t="s">
        <v>479</v>
      </c>
      <c r="H43" s="23">
        <v>30</v>
      </c>
      <c r="I43" s="23">
        <v>60</v>
      </c>
      <c r="J43" s="23" t="s">
        <v>374</v>
      </c>
      <c r="K43" s="23">
        <v>20</v>
      </c>
      <c r="L43" s="24">
        <f>$K43/INDEX('Indicator Master'!$N$4:$N$46,MATCH($A43,'Indicator Master'!$A$4:$A$46,0))*'Risk Bands (Config)'!$B$5</f>
        <v>66.666666666666657</v>
      </c>
      <c r="M43" s="23">
        <f>IF($K43=INDEX('Indicator Master'!$N$4:$N$46,MATCH($A43,'Indicator Master'!$A$4:$A$46,0)),1,0)</f>
        <v>0</v>
      </c>
      <c r="N43" s="25"/>
      <c r="O43" s="19" t="s">
        <v>491</v>
      </c>
      <c r="P43" s="19" t="s">
        <v>492</v>
      </c>
      <c r="Q43" s="19" t="s">
        <v>381</v>
      </c>
      <c r="R43" s="26" t="str">
        <f t="shared" si="1"/>
        <v>EWS-010|20</v>
      </c>
    </row>
    <row r="44" spans="1:18" ht="32.25" customHeight="1" x14ac:dyDescent="0.35">
      <c r="A44" s="23" t="s">
        <v>98</v>
      </c>
      <c r="B44" s="19" t="s">
        <v>99</v>
      </c>
      <c r="C44" s="23" t="s">
        <v>30</v>
      </c>
      <c r="D44" s="19" t="s">
        <v>101</v>
      </c>
      <c r="E44" s="23">
        <v>4</v>
      </c>
      <c r="F44" s="19" t="s">
        <v>493</v>
      </c>
      <c r="G44" s="19" t="s">
        <v>473</v>
      </c>
      <c r="H44" s="23">
        <v>60</v>
      </c>
      <c r="I44" s="23"/>
      <c r="J44" s="23" t="s">
        <v>398</v>
      </c>
      <c r="K44" s="23">
        <v>30</v>
      </c>
      <c r="L44" s="24">
        <f>$K44/INDEX('Indicator Master'!$N$4:$N$46,MATCH($A44,'Indicator Master'!$A$4:$A$46,0))*'Risk Bands (Config)'!$B$5</f>
        <v>100</v>
      </c>
      <c r="M44" s="23">
        <f>IF($K44=INDEX('Indicator Master'!$N$4:$N$46,MATCH($A44,'Indicator Master'!$A$4:$A$46,0)),1,0)</f>
        <v>1</v>
      </c>
      <c r="N44" s="25"/>
      <c r="O44" s="19" t="s">
        <v>494</v>
      </c>
      <c r="P44" s="19" t="s">
        <v>495</v>
      </c>
      <c r="Q44" s="19" t="s">
        <v>386</v>
      </c>
      <c r="R44" s="26" t="str">
        <f t="shared" si="1"/>
        <v>EWS-010|30</v>
      </c>
    </row>
    <row r="45" spans="1:18" ht="21.75" customHeight="1" x14ac:dyDescent="0.35">
      <c r="A45" s="23" t="s">
        <v>104</v>
      </c>
      <c r="B45" s="19" t="s">
        <v>105</v>
      </c>
      <c r="C45" s="23" t="s">
        <v>30</v>
      </c>
      <c r="D45" s="19" t="s">
        <v>107</v>
      </c>
      <c r="E45" s="23">
        <v>1</v>
      </c>
      <c r="F45" s="19" t="s">
        <v>485</v>
      </c>
      <c r="G45" s="19" t="s">
        <v>473</v>
      </c>
      <c r="H45" s="23"/>
      <c r="I45" s="23">
        <v>15</v>
      </c>
      <c r="J45" s="23" t="s">
        <v>368</v>
      </c>
      <c r="K45" s="23">
        <v>0</v>
      </c>
      <c r="L45" s="24">
        <f>$K45/INDEX('Indicator Master'!$N$4:$N$46,MATCH($A45,'Indicator Master'!$A$4:$A$46,0))*'Risk Bands (Config)'!$B$5</f>
        <v>0</v>
      </c>
      <c r="M45" s="23">
        <f>IF($K45=INDEX('Indicator Master'!$N$4:$N$46,MATCH($A45,'Indicator Master'!$A$4:$A$46,0)),1,0)</f>
        <v>0</v>
      </c>
      <c r="N45" s="25"/>
      <c r="O45" s="19" t="s">
        <v>496</v>
      </c>
      <c r="P45" s="19" t="s">
        <v>370</v>
      </c>
      <c r="Q45" s="19" t="s">
        <v>371</v>
      </c>
      <c r="R45" s="26" t="str">
        <f t="shared" si="1"/>
        <v>EWS-011|0</v>
      </c>
    </row>
    <row r="46" spans="1:18" ht="21.75" customHeight="1" x14ac:dyDescent="0.35">
      <c r="A46" s="23" t="s">
        <v>104</v>
      </c>
      <c r="B46" s="19" t="s">
        <v>105</v>
      </c>
      <c r="C46" s="23" t="s">
        <v>30</v>
      </c>
      <c r="D46" s="19" t="s">
        <v>107</v>
      </c>
      <c r="E46" s="23">
        <v>2</v>
      </c>
      <c r="F46" s="19" t="s">
        <v>487</v>
      </c>
      <c r="G46" s="19" t="s">
        <v>479</v>
      </c>
      <c r="H46" s="23">
        <v>15</v>
      </c>
      <c r="I46" s="23">
        <v>30</v>
      </c>
      <c r="J46" s="23" t="s">
        <v>374</v>
      </c>
      <c r="K46" s="23">
        <v>10</v>
      </c>
      <c r="L46" s="24">
        <f>$K46/INDEX('Indicator Master'!$N$4:$N$46,MATCH($A46,'Indicator Master'!$A$4:$A$46,0))*'Risk Bands (Config)'!$B$5</f>
        <v>33.333333333333329</v>
      </c>
      <c r="M46" s="23">
        <f>IF($K46=INDEX('Indicator Master'!$N$4:$N$46,MATCH($A46,'Indicator Master'!$A$4:$A$46,0)),1,0)</f>
        <v>0</v>
      </c>
      <c r="N46" s="25"/>
      <c r="O46" s="19" t="s">
        <v>497</v>
      </c>
      <c r="P46" s="19" t="s">
        <v>498</v>
      </c>
      <c r="Q46" s="19" t="s">
        <v>377</v>
      </c>
      <c r="R46" s="26" t="str">
        <f t="shared" si="1"/>
        <v>EWS-011|10</v>
      </c>
    </row>
    <row r="47" spans="1:18" ht="21.75" customHeight="1" x14ac:dyDescent="0.35">
      <c r="A47" s="23" t="s">
        <v>104</v>
      </c>
      <c r="B47" s="19" t="s">
        <v>105</v>
      </c>
      <c r="C47" s="23" t="s">
        <v>30</v>
      </c>
      <c r="D47" s="19" t="s">
        <v>107</v>
      </c>
      <c r="E47" s="23">
        <v>3</v>
      </c>
      <c r="F47" s="19" t="s">
        <v>490</v>
      </c>
      <c r="G47" s="19" t="s">
        <v>479</v>
      </c>
      <c r="H47" s="23">
        <v>30</v>
      </c>
      <c r="I47" s="23">
        <v>60</v>
      </c>
      <c r="J47" s="23" t="s">
        <v>374</v>
      </c>
      <c r="K47" s="23">
        <v>20</v>
      </c>
      <c r="L47" s="24">
        <f>$K47/INDEX('Indicator Master'!$N$4:$N$46,MATCH($A47,'Indicator Master'!$A$4:$A$46,0))*'Risk Bands (Config)'!$B$5</f>
        <v>66.666666666666657</v>
      </c>
      <c r="M47" s="23">
        <f>IF($K47=INDEX('Indicator Master'!$N$4:$N$46,MATCH($A47,'Indicator Master'!$A$4:$A$46,0)),1,0)</f>
        <v>0</v>
      </c>
      <c r="N47" s="25"/>
      <c r="O47" s="19" t="s">
        <v>499</v>
      </c>
      <c r="P47" s="19" t="s">
        <v>500</v>
      </c>
      <c r="Q47" s="19" t="s">
        <v>381</v>
      </c>
      <c r="R47" s="26" t="str">
        <f t="shared" si="1"/>
        <v>EWS-011|20</v>
      </c>
    </row>
    <row r="48" spans="1:18" ht="21.75" customHeight="1" x14ac:dyDescent="0.35">
      <c r="A48" s="23" t="s">
        <v>104</v>
      </c>
      <c r="B48" s="19" t="s">
        <v>105</v>
      </c>
      <c r="C48" s="23" t="s">
        <v>30</v>
      </c>
      <c r="D48" s="19" t="s">
        <v>107</v>
      </c>
      <c r="E48" s="23">
        <v>4</v>
      </c>
      <c r="F48" s="19" t="s">
        <v>493</v>
      </c>
      <c r="G48" s="19" t="s">
        <v>473</v>
      </c>
      <c r="H48" s="23">
        <v>60</v>
      </c>
      <c r="I48" s="23"/>
      <c r="J48" s="23" t="s">
        <v>398</v>
      </c>
      <c r="K48" s="23">
        <v>30</v>
      </c>
      <c r="L48" s="24">
        <f>$K48/INDEX('Indicator Master'!$N$4:$N$46,MATCH($A48,'Indicator Master'!$A$4:$A$46,0))*'Risk Bands (Config)'!$B$5</f>
        <v>100</v>
      </c>
      <c r="M48" s="23">
        <f>IF($K48=INDEX('Indicator Master'!$N$4:$N$46,MATCH($A48,'Indicator Master'!$A$4:$A$46,0)),1,0)</f>
        <v>1</v>
      </c>
      <c r="N48" s="25"/>
      <c r="O48" s="19" t="s">
        <v>501</v>
      </c>
      <c r="P48" s="19" t="s">
        <v>502</v>
      </c>
      <c r="Q48" s="19" t="s">
        <v>386</v>
      </c>
      <c r="R48" s="26" t="str">
        <f t="shared" si="1"/>
        <v>EWS-011|30</v>
      </c>
    </row>
    <row r="49" spans="1:18" ht="21.75" customHeight="1" x14ac:dyDescent="0.35">
      <c r="A49" s="23" t="s">
        <v>109</v>
      </c>
      <c r="B49" s="19" t="s">
        <v>110</v>
      </c>
      <c r="C49" s="23" t="s">
        <v>30</v>
      </c>
      <c r="D49" s="19" t="s">
        <v>112</v>
      </c>
      <c r="E49" s="23">
        <v>1</v>
      </c>
      <c r="F49" s="19" t="s">
        <v>503</v>
      </c>
      <c r="G49" s="19" t="s">
        <v>367</v>
      </c>
      <c r="H49" s="23"/>
      <c r="I49" s="23">
        <v>10</v>
      </c>
      <c r="J49" s="23" t="s">
        <v>445</v>
      </c>
      <c r="K49" s="23">
        <v>0</v>
      </c>
      <c r="L49" s="24">
        <f>$K49/INDEX('Indicator Master'!$N$4:$N$46,MATCH($A49,'Indicator Master'!$A$4:$A$46,0))*'Risk Bands (Config)'!$B$5</f>
        <v>0</v>
      </c>
      <c r="M49" s="23">
        <f>IF($K49=INDEX('Indicator Master'!$N$4:$N$46,MATCH($A49,'Indicator Master'!$A$4:$A$46,0)),1,0)</f>
        <v>0</v>
      </c>
      <c r="N49" s="25"/>
      <c r="O49" s="19" t="s">
        <v>504</v>
      </c>
      <c r="P49" s="19" t="s">
        <v>370</v>
      </c>
      <c r="Q49" s="19" t="s">
        <v>371</v>
      </c>
      <c r="R49" s="26" t="str">
        <f t="shared" si="1"/>
        <v>EWS-012|0</v>
      </c>
    </row>
    <row r="50" spans="1:18" ht="21.75" customHeight="1" x14ac:dyDescent="0.35">
      <c r="A50" s="23" t="s">
        <v>109</v>
      </c>
      <c r="B50" s="19" t="s">
        <v>110</v>
      </c>
      <c r="C50" s="23" t="s">
        <v>30</v>
      </c>
      <c r="D50" s="19" t="s">
        <v>112</v>
      </c>
      <c r="E50" s="23">
        <v>2</v>
      </c>
      <c r="F50" s="19" t="s">
        <v>505</v>
      </c>
      <c r="G50" s="19" t="s">
        <v>373</v>
      </c>
      <c r="H50" s="23">
        <v>10</v>
      </c>
      <c r="I50" s="23">
        <v>25</v>
      </c>
      <c r="J50" s="23" t="s">
        <v>448</v>
      </c>
      <c r="K50" s="23">
        <v>15</v>
      </c>
      <c r="L50" s="24">
        <f>$K50/INDEX('Indicator Master'!$N$4:$N$46,MATCH($A50,'Indicator Master'!$A$4:$A$46,0))*'Risk Bands (Config)'!$B$5</f>
        <v>37.5</v>
      </c>
      <c r="M50" s="23">
        <f>IF($K50=INDEX('Indicator Master'!$N$4:$N$46,MATCH($A50,'Indicator Master'!$A$4:$A$46,0)),1,0)</f>
        <v>0</v>
      </c>
      <c r="N50" s="25"/>
      <c r="O50" s="19" t="s">
        <v>506</v>
      </c>
      <c r="P50" s="19" t="s">
        <v>507</v>
      </c>
      <c r="Q50" s="19" t="s">
        <v>377</v>
      </c>
      <c r="R50" s="26" t="str">
        <f t="shared" si="1"/>
        <v>EWS-012|15</v>
      </c>
    </row>
    <row r="51" spans="1:18" ht="21.75" customHeight="1" x14ac:dyDescent="0.35">
      <c r="A51" s="23" t="s">
        <v>109</v>
      </c>
      <c r="B51" s="19" t="s">
        <v>110</v>
      </c>
      <c r="C51" s="23" t="s">
        <v>30</v>
      </c>
      <c r="D51" s="19" t="s">
        <v>112</v>
      </c>
      <c r="E51" s="23">
        <v>3</v>
      </c>
      <c r="F51" s="19" t="s">
        <v>508</v>
      </c>
      <c r="G51" s="19" t="s">
        <v>373</v>
      </c>
      <c r="H51" s="23">
        <v>25</v>
      </c>
      <c r="I51" s="23">
        <v>50</v>
      </c>
      <c r="J51" s="23" t="s">
        <v>448</v>
      </c>
      <c r="K51" s="23">
        <v>30</v>
      </c>
      <c r="L51" s="24">
        <f>$K51/INDEX('Indicator Master'!$N$4:$N$46,MATCH($A51,'Indicator Master'!$A$4:$A$46,0))*'Risk Bands (Config)'!$B$5</f>
        <v>75</v>
      </c>
      <c r="M51" s="23">
        <f>IF($K51=INDEX('Indicator Master'!$N$4:$N$46,MATCH($A51,'Indicator Master'!$A$4:$A$46,0)),1,0)</f>
        <v>0</v>
      </c>
      <c r="N51" s="25"/>
      <c r="O51" s="19" t="s">
        <v>509</v>
      </c>
      <c r="P51" s="19" t="s">
        <v>510</v>
      </c>
      <c r="Q51" s="19" t="s">
        <v>381</v>
      </c>
      <c r="R51" s="26" t="str">
        <f t="shared" si="1"/>
        <v>EWS-012|30</v>
      </c>
    </row>
    <row r="52" spans="1:18" ht="21.75" customHeight="1" x14ac:dyDescent="0.35">
      <c r="A52" s="23" t="s">
        <v>109</v>
      </c>
      <c r="B52" s="19" t="s">
        <v>110</v>
      </c>
      <c r="C52" s="23" t="s">
        <v>30</v>
      </c>
      <c r="D52" s="19" t="s">
        <v>112</v>
      </c>
      <c r="E52" s="23">
        <v>4</v>
      </c>
      <c r="F52" s="19" t="s">
        <v>511</v>
      </c>
      <c r="G52" s="19" t="s">
        <v>367</v>
      </c>
      <c r="H52" s="23">
        <v>50</v>
      </c>
      <c r="I52" s="23"/>
      <c r="J52" s="23" t="s">
        <v>416</v>
      </c>
      <c r="K52" s="23">
        <v>40</v>
      </c>
      <c r="L52" s="24">
        <f>$K52/INDEX('Indicator Master'!$N$4:$N$46,MATCH($A52,'Indicator Master'!$A$4:$A$46,0))*'Risk Bands (Config)'!$B$5</f>
        <v>100</v>
      </c>
      <c r="M52" s="23">
        <f>IF($K52=INDEX('Indicator Master'!$N$4:$N$46,MATCH($A52,'Indicator Master'!$A$4:$A$46,0)),1,0)</f>
        <v>1</v>
      </c>
      <c r="N52" s="25"/>
      <c r="O52" s="19" t="s">
        <v>512</v>
      </c>
      <c r="P52" s="19" t="s">
        <v>513</v>
      </c>
      <c r="Q52" s="19" t="s">
        <v>386</v>
      </c>
      <c r="R52" s="26" t="str">
        <f t="shared" si="1"/>
        <v>EWS-012|40</v>
      </c>
    </row>
    <row r="53" spans="1:18" ht="21.75" customHeight="1" x14ac:dyDescent="0.35">
      <c r="A53" s="23" t="s">
        <v>116</v>
      </c>
      <c r="B53" s="19" t="s">
        <v>117</v>
      </c>
      <c r="C53" s="23" t="s">
        <v>30</v>
      </c>
      <c r="D53" s="19" t="s">
        <v>119</v>
      </c>
      <c r="E53" s="23">
        <v>1</v>
      </c>
      <c r="F53" s="19" t="s">
        <v>514</v>
      </c>
      <c r="G53" s="19" t="s">
        <v>367</v>
      </c>
      <c r="H53" s="23"/>
      <c r="I53" s="23">
        <v>5</v>
      </c>
      <c r="J53" s="23" t="s">
        <v>368</v>
      </c>
      <c r="K53" s="23">
        <v>0</v>
      </c>
      <c r="L53" s="24">
        <f>$K53/INDEX('Indicator Master'!$N$4:$N$46,MATCH($A53,'Indicator Master'!$A$4:$A$46,0))*'Risk Bands (Config)'!$B$5</f>
        <v>0</v>
      </c>
      <c r="M53" s="23">
        <f>IF($K53=INDEX('Indicator Master'!$N$4:$N$46,MATCH($A53,'Indicator Master'!$A$4:$A$46,0)),1,0)</f>
        <v>0</v>
      </c>
      <c r="N53" s="25"/>
      <c r="O53" s="19" t="s">
        <v>515</v>
      </c>
      <c r="P53" s="19" t="s">
        <v>370</v>
      </c>
      <c r="Q53" s="19" t="s">
        <v>371</v>
      </c>
      <c r="R53" s="26" t="str">
        <f t="shared" si="1"/>
        <v>EWS-013|0</v>
      </c>
    </row>
    <row r="54" spans="1:18" ht="21.75" customHeight="1" x14ac:dyDescent="0.35">
      <c r="A54" s="23" t="s">
        <v>116</v>
      </c>
      <c r="B54" s="19" t="s">
        <v>117</v>
      </c>
      <c r="C54" s="23" t="s">
        <v>30</v>
      </c>
      <c r="D54" s="19" t="s">
        <v>119</v>
      </c>
      <c r="E54" s="23">
        <v>2</v>
      </c>
      <c r="F54" s="19" t="s">
        <v>516</v>
      </c>
      <c r="G54" s="19" t="s">
        <v>373</v>
      </c>
      <c r="H54" s="23">
        <v>5</v>
      </c>
      <c r="I54" s="23">
        <v>10</v>
      </c>
      <c r="J54" s="23" t="s">
        <v>374</v>
      </c>
      <c r="K54" s="23">
        <v>10</v>
      </c>
      <c r="L54" s="24">
        <f>$K54/INDEX('Indicator Master'!$N$4:$N$46,MATCH($A54,'Indicator Master'!$A$4:$A$46,0))*'Risk Bands (Config)'!$B$5</f>
        <v>28.571428571428569</v>
      </c>
      <c r="M54" s="23">
        <f>IF($K54=INDEX('Indicator Master'!$N$4:$N$46,MATCH($A54,'Indicator Master'!$A$4:$A$46,0)),1,0)</f>
        <v>0</v>
      </c>
      <c r="N54" s="25"/>
      <c r="O54" s="19" t="s">
        <v>517</v>
      </c>
      <c r="P54" s="19" t="s">
        <v>518</v>
      </c>
      <c r="Q54" s="19" t="s">
        <v>411</v>
      </c>
      <c r="R54" s="26" t="str">
        <f t="shared" si="1"/>
        <v>EWS-013|10</v>
      </c>
    </row>
    <row r="55" spans="1:18" ht="21.75" customHeight="1" x14ac:dyDescent="0.35">
      <c r="A55" s="23" t="s">
        <v>116</v>
      </c>
      <c r="B55" s="19" t="s">
        <v>117</v>
      </c>
      <c r="C55" s="23" t="s">
        <v>30</v>
      </c>
      <c r="D55" s="19" t="s">
        <v>119</v>
      </c>
      <c r="E55" s="23">
        <v>3</v>
      </c>
      <c r="F55" s="19" t="s">
        <v>519</v>
      </c>
      <c r="G55" s="19" t="s">
        <v>373</v>
      </c>
      <c r="H55" s="23">
        <v>10</v>
      </c>
      <c r="I55" s="23">
        <v>15</v>
      </c>
      <c r="J55" s="23" t="s">
        <v>374</v>
      </c>
      <c r="K55" s="23">
        <v>20</v>
      </c>
      <c r="L55" s="24">
        <f>$K55/INDEX('Indicator Master'!$N$4:$N$46,MATCH($A55,'Indicator Master'!$A$4:$A$46,0))*'Risk Bands (Config)'!$B$5</f>
        <v>57.142857142857139</v>
      </c>
      <c r="M55" s="23">
        <f>IF($K55=INDEX('Indicator Master'!$N$4:$N$46,MATCH($A55,'Indicator Master'!$A$4:$A$46,0)),1,0)</f>
        <v>0</v>
      </c>
      <c r="N55" s="25"/>
      <c r="O55" s="19" t="s">
        <v>520</v>
      </c>
      <c r="P55" s="19" t="s">
        <v>521</v>
      </c>
      <c r="Q55" s="19" t="s">
        <v>377</v>
      </c>
      <c r="R55" s="26" t="str">
        <f t="shared" si="1"/>
        <v>EWS-013|20</v>
      </c>
    </row>
    <row r="56" spans="1:18" ht="21.75" customHeight="1" x14ac:dyDescent="0.35">
      <c r="A56" s="23" t="s">
        <v>116</v>
      </c>
      <c r="B56" s="19" t="s">
        <v>117</v>
      </c>
      <c r="C56" s="23" t="s">
        <v>30</v>
      </c>
      <c r="D56" s="19" t="s">
        <v>119</v>
      </c>
      <c r="E56" s="23">
        <v>4</v>
      </c>
      <c r="F56" s="19" t="s">
        <v>522</v>
      </c>
      <c r="G56" s="19" t="s">
        <v>367</v>
      </c>
      <c r="H56" s="23">
        <v>15</v>
      </c>
      <c r="I56" s="23"/>
      <c r="J56" s="23" t="s">
        <v>416</v>
      </c>
      <c r="K56" s="23">
        <v>35</v>
      </c>
      <c r="L56" s="24">
        <f>$K56/INDEX('Indicator Master'!$N$4:$N$46,MATCH($A56,'Indicator Master'!$A$4:$A$46,0))*'Risk Bands (Config)'!$B$5</f>
        <v>100</v>
      </c>
      <c r="M56" s="23">
        <f>IF($K56=INDEX('Indicator Master'!$N$4:$N$46,MATCH($A56,'Indicator Master'!$A$4:$A$46,0)),1,0)</f>
        <v>1</v>
      </c>
      <c r="N56" s="25"/>
      <c r="O56" s="19" t="s">
        <v>523</v>
      </c>
      <c r="P56" s="19" t="s">
        <v>524</v>
      </c>
      <c r="Q56" s="19" t="s">
        <v>386</v>
      </c>
      <c r="R56" s="26" t="str">
        <f t="shared" si="1"/>
        <v>EWS-013|35</v>
      </c>
    </row>
    <row r="57" spans="1:18" ht="32.25" customHeight="1" x14ac:dyDescent="0.35">
      <c r="A57" s="25" t="s">
        <v>123</v>
      </c>
      <c r="B57" s="19" t="s">
        <v>124</v>
      </c>
      <c r="C57" s="23" t="s">
        <v>30</v>
      </c>
      <c r="D57" s="19" t="s">
        <v>126</v>
      </c>
      <c r="E57" s="23">
        <v>1</v>
      </c>
      <c r="F57" s="19" t="s">
        <v>525</v>
      </c>
      <c r="G57" s="19" t="s">
        <v>367</v>
      </c>
      <c r="H57" s="23"/>
      <c r="I57" s="23">
        <v>10</v>
      </c>
      <c r="J57" s="23" t="s">
        <v>445</v>
      </c>
      <c r="K57" s="23">
        <v>0</v>
      </c>
      <c r="L57" s="24">
        <f>$K57/INDEX('Indicator Master'!$N$4:$N$46,MATCH($A57,'Indicator Master'!$A$4:$A$46,0))*'Risk Bands (Config)'!$B$5</f>
        <v>0</v>
      </c>
      <c r="M57" s="23">
        <f>IF($K57=INDEX('Indicator Master'!$N$4:$N$46,MATCH($A57,'Indicator Master'!$A$4:$A$46,0)),1,0)</f>
        <v>0</v>
      </c>
      <c r="N57" s="25"/>
      <c r="O57" s="19" t="s">
        <v>526</v>
      </c>
      <c r="P57" s="19" t="s">
        <v>370</v>
      </c>
      <c r="Q57" s="19" t="s">
        <v>371</v>
      </c>
      <c r="R57" s="26" t="str">
        <f t="shared" si="1"/>
        <v>EWS-014|0</v>
      </c>
    </row>
    <row r="58" spans="1:18" ht="32.25" customHeight="1" x14ac:dyDescent="0.35">
      <c r="A58" s="25" t="s">
        <v>123</v>
      </c>
      <c r="B58" s="19" t="s">
        <v>124</v>
      </c>
      <c r="C58" s="23" t="s">
        <v>30</v>
      </c>
      <c r="D58" s="19" t="s">
        <v>126</v>
      </c>
      <c r="E58" s="23">
        <v>2</v>
      </c>
      <c r="F58" s="19" t="s">
        <v>505</v>
      </c>
      <c r="G58" s="19" t="s">
        <v>373</v>
      </c>
      <c r="H58" s="23">
        <v>10</v>
      </c>
      <c r="I58" s="23">
        <v>25</v>
      </c>
      <c r="J58" s="23" t="s">
        <v>448</v>
      </c>
      <c r="K58" s="23">
        <v>10</v>
      </c>
      <c r="L58" s="24">
        <f>$K58/INDEX('Indicator Master'!$N$4:$N$46,MATCH($A58,'Indicator Master'!$A$4:$A$46,0))*'Risk Bands (Config)'!$B$5</f>
        <v>28.571428571428569</v>
      </c>
      <c r="M58" s="23">
        <f>IF($K58=INDEX('Indicator Master'!$N$4:$N$46,MATCH($A58,'Indicator Master'!$A$4:$A$46,0)),1,0)</f>
        <v>0</v>
      </c>
      <c r="N58" s="25"/>
      <c r="O58" s="19" t="s">
        <v>527</v>
      </c>
      <c r="P58" s="19" t="s">
        <v>528</v>
      </c>
      <c r="Q58" s="19" t="s">
        <v>411</v>
      </c>
      <c r="R58" s="26" t="str">
        <f t="shared" si="1"/>
        <v>EWS-014|10</v>
      </c>
    </row>
    <row r="59" spans="1:18" ht="32.25" customHeight="1" x14ac:dyDescent="0.35">
      <c r="A59" s="25" t="s">
        <v>123</v>
      </c>
      <c r="B59" s="19" t="s">
        <v>124</v>
      </c>
      <c r="C59" s="23" t="s">
        <v>30</v>
      </c>
      <c r="D59" s="19" t="s">
        <v>126</v>
      </c>
      <c r="E59" s="23">
        <v>3</v>
      </c>
      <c r="F59" s="19" t="s">
        <v>529</v>
      </c>
      <c r="G59" s="19" t="s">
        <v>373</v>
      </c>
      <c r="H59" s="23">
        <v>25</v>
      </c>
      <c r="I59" s="23">
        <v>50</v>
      </c>
      <c r="J59" s="23" t="s">
        <v>448</v>
      </c>
      <c r="K59" s="23">
        <v>25</v>
      </c>
      <c r="L59" s="24">
        <f>$K59/INDEX('Indicator Master'!$N$4:$N$46,MATCH($A59,'Indicator Master'!$A$4:$A$46,0))*'Risk Bands (Config)'!$B$5</f>
        <v>71.428571428571431</v>
      </c>
      <c r="M59" s="23">
        <f>IF($K59=INDEX('Indicator Master'!$N$4:$N$46,MATCH($A59,'Indicator Master'!$A$4:$A$46,0)),1,0)</f>
        <v>0</v>
      </c>
      <c r="N59" s="25"/>
      <c r="O59" s="19" t="s">
        <v>530</v>
      </c>
      <c r="P59" s="19" t="s">
        <v>531</v>
      </c>
      <c r="Q59" s="19" t="s">
        <v>440</v>
      </c>
      <c r="R59" s="26" t="str">
        <f t="shared" si="1"/>
        <v>EWS-014|25</v>
      </c>
    </row>
    <row r="60" spans="1:18" ht="42.75" customHeight="1" x14ac:dyDescent="0.35">
      <c r="A60" s="25" t="s">
        <v>123</v>
      </c>
      <c r="B60" s="19" t="s">
        <v>124</v>
      </c>
      <c r="C60" s="23" t="s">
        <v>30</v>
      </c>
      <c r="D60" s="19" t="s">
        <v>126</v>
      </c>
      <c r="E60" s="23">
        <v>4</v>
      </c>
      <c r="F60" s="19" t="s">
        <v>511</v>
      </c>
      <c r="G60" s="19" t="s">
        <v>367</v>
      </c>
      <c r="H60" s="23">
        <v>50</v>
      </c>
      <c r="I60" s="23"/>
      <c r="J60" s="23" t="s">
        <v>416</v>
      </c>
      <c r="K60" s="23">
        <v>35</v>
      </c>
      <c r="L60" s="24">
        <f>$K60/INDEX('Indicator Master'!$N$4:$N$46,MATCH($A60,'Indicator Master'!$A$4:$A$46,0))*'Risk Bands (Config)'!$B$5</f>
        <v>100</v>
      </c>
      <c r="M60" s="23">
        <f>IF($K60=INDEX('Indicator Master'!$N$4:$N$46,MATCH($A60,'Indicator Master'!$A$4:$A$46,0)),1,0)</f>
        <v>1</v>
      </c>
      <c r="N60" s="25" t="s">
        <v>417</v>
      </c>
      <c r="O60" s="19" t="s">
        <v>532</v>
      </c>
      <c r="P60" s="19" t="s">
        <v>533</v>
      </c>
      <c r="Q60" s="19" t="s">
        <v>534</v>
      </c>
      <c r="R60" s="26" t="str">
        <f t="shared" si="1"/>
        <v>EWS-014|35</v>
      </c>
    </row>
    <row r="61" spans="1:18" ht="21.75" customHeight="1" x14ac:dyDescent="0.35">
      <c r="A61" s="23" t="s">
        <v>129</v>
      </c>
      <c r="B61" s="19" t="s">
        <v>130</v>
      </c>
      <c r="C61" s="23" t="s">
        <v>30</v>
      </c>
      <c r="D61" s="19" t="s">
        <v>132</v>
      </c>
      <c r="E61" s="23">
        <v>1</v>
      </c>
      <c r="F61" s="19" t="s">
        <v>535</v>
      </c>
      <c r="G61" s="19" t="s">
        <v>367</v>
      </c>
      <c r="H61" s="23"/>
      <c r="I61" s="23">
        <v>10</v>
      </c>
      <c r="J61" s="23" t="s">
        <v>368</v>
      </c>
      <c r="K61" s="23">
        <v>0</v>
      </c>
      <c r="L61" s="24">
        <f>$K61/INDEX('Indicator Master'!$N$4:$N$46,MATCH($A61,'Indicator Master'!$A$4:$A$46,0))*'Risk Bands (Config)'!$B$5</f>
        <v>0</v>
      </c>
      <c r="M61" s="23">
        <f>IF($K61=INDEX('Indicator Master'!$N$4:$N$46,MATCH($A61,'Indicator Master'!$A$4:$A$46,0)),1,0)</f>
        <v>0</v>
      </c>
      <c r="N61" s="25"/>
      <c r="O61" s="19" t="s">
        <v>536</v>
      </c>
      <c r="P61" s="19" t="s">
        <v>370</v>
      </c>
      <c r="Q61" s="19" t="s">
        <v>371</v>
      </c>
      <c r="R61" s="26" t="str">
        <f t="shared" si="1"/>
        <v>EWS-015|0</v>
      </c>
    </row>
    <row r="62" spans="1:18" ht="21.75" customHeight="1" x14ac:dyDescent="0.35">
      <c r="A62" s="23" t="s">
        <v>129</v>
      </c>
      <c r="B62" s="19" t="s">
        <v>130</v>
      </c>
      <c r="C62" s="23" t="s">
        <v>30</v>
      </c>
      <c r="D62" s="19" t="s">
        <v>132</v>
      </c>
      <c r="E62" s="23">
        <v>2</v>
      </c>
      <c r="F62" s="19" t="s">
        <v>537</v>
      </c>
      <c r="G62" s="19" t="s">
        <v>373</v>
      </c>
      <c r="H62" s="23">
        <v>10</v>
      </c>
      <c r="I62" s="23">
        <v>20</v>
      </c>
      <c r="J62" s="23" t="s">
        <v>374</v>
      </c>
      <c r="K62" s="23">
        <v>10</v>
      </c>
      <c r="L62" s="24">
        <f>$K62/INDEX('Indicator Master'!$N$4:$N$46,MATCH($A62,'Indicator Master'!$A$4:$A$46,0))*'Risk Bands (Config)'!$B$5</f>
        <v>25</v>
      </c>
      <c r="M62" s="23">
        <f>IF($K62=INDEX('Indicator Master'!$N$4:$N$46,MATCH($A62,'Indicator Master'!$A$4:$A$46,0)),1,0)</f>
        <v>0</v>
      </c>
      <c r="N62" s="25"/>
      <c r="O62" s="19" t="s">
        <v>538</v>
      </c>
      <c r="P62" s="19" t="s">
        <v>539</v>
      </c>
      <c r="Q62" s="19" t="s">
        <v>411</v>
      </c>
      <c r="R62" s="26" t="str">
        <f t="shared" si="1"/>
        <v>EWS-015|10</v>
      </c>
    </row>
    <row r="63" spans="1:18" ht="21.75" customHeight="1" x14ac:dyDescent="0.35">
      <c r="A63" s="23" t="s">
        <v>129</v>
      </c>
      <c r="B63" s="19" t="s">
        <v>130</v>
      </c>
      <c r="C63" s="23" t="s">
        <v>30</v>
      </c>
      <c r="D63" s="19" t="s">
        <v>132</v>
      </c>
      <c r="E63" s="23">
        <v>3</v>
      </c>
      <c r="F63" s="19" t="s">
        <v>540</v>
      </c>
      <c r="G63" s="19" t="s">
        <v>373</v>
      </c>
      <c r="H63" s="23">
        <v>20</v>
      </c>
      <c r="I63" s="23">
        <v>40</v>
      </c>
      <c r="J63" s="23" t="s">
        <v>374</v>
      </c>
      <c r="K63" s="23">
        <v>20</v>
      </c>
      <c r="L63" s="24">
        <f>$K63/INDEX('Indicator Master'!$N$4:$N$46,MATCH($A63,'Indicator Master'!$A$4:$A$46,0))*'Risk Bands (Config)'!$B$5</f>
        <v>50</v>
      </c>
      <c r="M63" s="23">
        <f>IF($K63=INDEX('Indicator Master'!$N$4:$N$46,MATCH($A63,'Indicator Master'!$A$4:$A$46,0)),1,0)</f>
        <v>0</v>
      </c>
      <c r="N63" s="25"/>
      <c r="O63" s="19" t="s">
        <v>541</v>
      </c>
      <c r="P63" s="19" t="s">
        <v>542</v>
      </c>
      <c r="Q63" s="19" t="s">
        <v>377</v>
      </c>
      <c r="R63" s="26" t="str">
        <f t="shared" si="1"/>
        <v>EWS-015|20</v>
      </c>
    </row>
    <row r="64" spans="1:18" ht="21.75" customHeight="1" x14ac:dyDescent="0.35">
      <c r="A64" s="23" t="s">
        <v>129</v>
      </c>
      <c r="B64" s="19" t="s">
        <v>130</v>
      </c>
      <c r="C64" s="23" t="s">
        <v>30</v>
      </c>
      <c r="D64" s="19" t="s">
        <v>132</v>
      </c>
      <c r="E64" s="23">
        <v>4</v>
      </c>
      <c r="F64" s="19" t="s">
        <v>543</v>
      </c>
      <c r="G64" s="19" t="s">
        <v>367</v>
      </c>
      <c r="H64" s="23">
        <v>40</v>
      </c>
      <c r="I64" s="23"/>
      <c r="J64" s="23" t="s">
        <v>544</v>
      </c>
      <c r="K64" s="23">
        <v>40</v>
      </c>
      <c r="L64" s="24">
        <f>$K64/INDEX('Indicator Master'!$N$4:$N$46,MATCH($A64,'Indicator Master'!$A$4:$A$46,0))*'Risk Bands (Config)'!$B$5</f>
        <v>100</v>
      </c>
      <c r="M64" s="23">
        <f>IF($K64=INDEX('Indicator Master'!$N$4:$N$46,MATCH($A64,'Indicator Master'!$A$4:$A$46,0)),1,0)</f>
        <v>1</v>
      </c>
      <c r="N64" s="25"/>
      <c r="O64" s="19" t="s">
        <v>545</v>
      </c>
      <c r="P64" s="19" t="s">
        <v>546</v>
      </c>
      <c r="Q64" s="19" t="s">
        <v>386</v>
      </c>
      <c r="R64" s="26" t="str">
        <f t="shared" si="1"/>
        <v>EWS-015|40</v>
      </c>
    </row>
    <row r="65" spans="1:18" ht="21.75" customHeight="1" x14ac:dyDescent="0.35">
      <c r="A65" s="23" t="s">
        <v>135</v>
      </c>
      <c r="B65" s="19" t="s">
        <v>136</v>
      </c>
      <c r="C65" s="23" t="s">
        <v>30</v>
      </c>
      <c r="D65" s="19" t="s">
        <v>139</v>
      </c>
      <c r="E65" s="23">
        <v>1</v>
      </c>
      <c r="F65" s="19" t="s">
        <v>547</v>
      </c>
      <c r="G65" s="19" t="s">
        <v>432</v>
      </c>
      <c r="H65" s="23"/>
      <c r="I65" s="23"/>
      <c r="J65" s="23" t="s">
        <v>403</v>
      </c>
      <c r="K65" s="23">
        <v>0</v>
      </c>
      <c r="L65" s="24">
        <f>$K65/INDEX('Indicator Master'!$N$4:$N$46,MATCH($A65,'Indicator Master'!$A$4:$A$46,0))*'Risk Bands (Config)'!$B$5</f>
        <v>0</v>
      </c>
      <c r="M65" s="23">
        <f>IF($K65=INDEX('Indicator Master'!$N$4:$N$46,MATCH($A65,'Indicator Master'!$A$4:$A$46,0)),1,0)</f>
        <v>0</v>
      </c>
      <c r="N65" s="25"/>
      <c r="O65" s="19" t="s">
        <v>548</v>
      </c>
      <c r="P65" s="19" t="s">
        <v>370</v>
      </c>
      <c r="Q65" s="19" t="s">
        <v>371</v>
      </c>
      <c r="R65" s="26" t="str">
        <f t="shared" si="1"/>
        <v>EWS-016|0</v>
      </c>
    </row>
    <row r="66" spans="1:18" ht="21.75" customHeight="1" x14ac:dyDescent="0.35">
      <c r="A66" s="23" t="s">
        <v>135</v>
      </c>
      <c r="B66" s="19" t="s">
        <v>136</v>
      </c>
      <c r="C66" s="23" t="s">
        <v>30</v>
      </c>
      <c r="D66" s="19" t="s">
        <v>139</v>
      </c>
      <c r="E66" s="23">
        <v>2</v>
      </c>
      <c r="F66" s="19" t="s">
        <v>549</v>
      </c>
      <c r="G66" s="19" t="s">
        <v>432</v>
      </c>
      <c r="H66" s="23"/>
      <c r="I66" s="23"/>
      <c r="J66" s="23" t="s">
        <v>403</v>
      </c>
      <c r="K66" s="23">
        <v>15</v>
      </c>
      <c r="L66" s="24">
        <f>$K66/INDEX('Indicator Master'!$N$4:$N$46,MATCH($A66,'Indicator Master'!$A$4:$A$46,0))*'Risk Bands (Config)'!$B$5</f>
        <v>30</v>
      </c>
      <c r="M66" s="23">
        <f>IF($K66=INDEX('Indicator Master'!$N$4:$N$46,MATCH($A66,'Indicator Master'!$A$4:$A$46,0)),1,0)</f>
        <v>0</v>
      </c>
      <c r="N66" s="25"/>
      <c r="O66" s="19" t="s">
        <v>550</v>
      </c>
      <c r="P66" s="19" t="s">
        <v>551</v>
      </c>
      <c r="Q66" s="19" t="s">
        <v>411</v>
      </c>
      <c r="R66" s="26" t="str">
        <f t="shared" si="1"/>
        <v>EWS-016|15</v>
      </c>
    </row>
    <row r="67" spans="1:18" ht="32.25" customHeight="1" x14ac:dyDescent="0.35">
      <c r="A67" s="23" t="s">
        <v>135</v>
      </c>
      <c r="B67" s="19" t="s">
        <v>136</v>
      </c>
      <c r="C67" s="23" t="s">
        <v>30</v>
      </c>
      <c r="D67" s="19" t="s">
        <v>139</v>
      </c>
      <c r="E67" s="23">
        <v>3</v>
      </c>
      <c r="F67" s="19" t="s">
        <v>552</v>
      </c>
      <c r="G67" s="19" t="s">
        <v>432</v>
      </c>
      <c r="H67" s="23"/>
      <c r="I67" s="23"/>
      <c r="J67" s="23" t="s">
        <v>403</v>
      </c>
      <c r="K67" s="23">
        <v>50</v>
      </c>
      <c r="L67" s="24">
        <f>$K67/INDEX('Indicator Master'!$N$4:$N$46,MATCH($A67,'Indicator Master'!$A$4:$A$46,0))*'Risk Bands (Config)'!$B$5</f>
        <v>100</v>
      </c>
      <c r="M67" s="23">
        <f>IF($K67=INDEX('Indicator Master'!$N$4:$N$46,MATCH($A67,'Indicator Master'!$A$4:$A$46,0)),1,0)</f>
        <v>1</v>
      </c>
      <c r="N67" s="25"/>
      <c r="O67" s="19" t="s">
        <v>553</v>
      </c>
      <c r="P67" s="19" t="s">
        <v>554</v>
      </c>
      <c r="Q67" s="19" t="s">
        <v>386</v>
      </c>
      <c r="R67" s="26" t="str">
        <f t="shared" si="1"/>
        <v>EWS-016|50</v>
      </c>
    </row>
    <row r="68" spans="1:18" ht="21.75" customHeight="1" x14ac:dyDescent="0.35">
      <c r="A68" s="23" t="s">
        <v>144</v>
      </c>
      <c r="B68" s="19" t="s">
        <v>145</v>
      </c>
      <c r="C68" s="23" t="s">
        <v>30</v>
      </c>
      <c r="D68" s="19" t="s">
        <v>147</v>
      </c>
      <c r="E68" s="23">
        <v>1</v>
      </c>
      <c r="F68" s="19" t="s">
        <v>547</v>
      </c>
      <c r="G68" s="19" t="s">
        <v>432</v>
      </c>
      <c r="H68" s="23"/>
      <c r="I68" s="23"/>
      <c r="J68" s="23" t="s">
        <v>555</v>
      </c>
      <c r="K68" s="23">
        <v>0</v>
      </c>
      <c r="L68" s="24">
        <f>$K68/INDEX('Indicator Master'!$N$4:$N$46,MATCH($A68,'Indicator Master'!$A$4:$A$46,0))*'Risk Bands (Config)'!$B$5</f>
        <v>0</v>
      </c>
      <c r="M68" s="23">
        <f>IF($K68=INDEX('Indicator Master'!$N$4:$N$46,MATCH($A68,'Indicator Master'!$A$4:$A$46,0)),1,0)</f>
        <v>0</v>
      </c>
      <c r="N68" s="25"/>
      <c r="O68" s="19" t="s">
        <v>556</v>
      </c>
      <c r="P68" s="19" t="s">
        <v>370</v>
      </c>
      <c r="Q68" s="19" t="s">
        <v>371</v>
      </c>
      <c r="R68" s="26" t="str">
        <f t="shared" si="1"/>
        <v>EWS-017|0</v>
      </c>
    </row>
    <row r="69" spans="1:18" ht="21.75" customHeight="1" x14ac:dyDescent="0.35">
      <c r="A69" s="23" t="s">
        <v>144</v>
      </c>
      <c r="B69" s="19" t="s">
        <v>145</v>
      </c>
      <c r="C69" s="23" t="s">
        <v>30</v>
      </c>
      <c r="D69" s="19" t="s">
        <v>147</v>
      </c>
      <c r="E69" s="23">
        <v>2</v>
      </c>
      <c r="F69" s="19" t="s">
        <v>549</v>
      </c>
      <c r="G69" s="19" t="s">
        <v>432</v>
      </c>
      <c r="H69" s="23"/>
      <c r="I69" s="23"/>
      <c r="J69" s="23" t="s">
        <v>555</v>
      </c>
      <c r="K69" s="23">
        <v>15</v>
      </c>
      <c r="L69" s="24">
        <f>$K69/INDEX('Indicator Master'!$N$4:$N$46,MATCH($A69,'Indicator Master'!$A$4:$A$46,0))*'Risk Bands (Config)'!$B$5</f>
        <v>30</v>
      </c>
      <c r="M69" s="23">
        <f>IF($K69=INDEX('Indicator Master'!$N$4:$N$46,MATCH($A69,'Indicator Master'!$A$4:$A$46,0)),1,0)</f>
        <v>0</v>
      </c>
      <c r="N69" s="25"/>
      <c r="O69" s="19" t="s">
        <v>557</v>
      </c>
      <c r="P69" s="19" t="s">
        <v>558</v>
      </c>
      <c r="Q69" s="19" t="s">
        <v>411</v>
      </c>
      <c r="R69" s="26" t="str">
        <f t="shared" ref="R69:R100" si="2">$A69&amp;"|"&amp;$K69</f>
        <v>EWS-017|15</v>
      </c>
    </row>
    <row r="70" spans="1:18" ht="32.25" customHeight="1" x14ac:dyDescent="0.35">
      <c r="A70" s="23" t="s">
        <v>144</v>
      </c>
      <c r="B70" s="19" t="s">
        <v>145</v>
      </c>
      <c r="C70" s="23" t="s">
        <v>30</v>
      </c>
      <c r="D70" s="19" t="s">
        <v>147</v>
      </c>
      <c r="E70" s="23">
        <v>3</v>
      </c>
      <c r="F70" s="19" t="s">
        <v>552</v>
      </c>
      <c r="G70" s="19" t="s">
        <v>432</v>
      </c>
      <c r="H70" s="23"/>
      <c r="I70" s="23"/>
      <c r="J70" s="23" t="s">
        <v>555</v>
      </c>
      <c r="K70" s="23">
        <v>50</v>
      </c>
      <c r="L70" s="24">
        <f>$K70/INDEX('Indicator Master'!$N$4:$N$46,MATCH($A70,'Indicator Master'!$A$4:$A$46,0))*'Risk Bands (Config)'!$B$5</f>
        <v>100</v>
      </c>
      <c r="M70" s="23">
        <f>IF($K70=INDEX('Indicator Master'!$N$4:$N$46,MATCH($A70,'Indicator Master'!$A$4:$A$46,0)),1,0)</f>
        <v>1</v>
      </c>
      <c r="N70" s="25"/>
      <c r="O70" s="19" t="s">
        <v>559</v>
      </c>
      <c r="P70" s="19" t="s">
        <v>560</v>
      </c>
      <c r="Q70" s="19" t="s">
        <v>386</v>
      </c>
      <c r="R70" s="26" t="str">
        <f t="shared" si="2"/>
        <v>EWS-017|50</v>
      </c>
    </row>
    <row r="71" spans="1:18" ht="21.75" customHeight="1" x14ac:dyDescent="0.35">
      <c r="A71" s="23" t="s">
        <v>149</v>
      </c>
      <c r="B71" s="19" t="s">
        <v>150</v>
      </c>
      <c r="C71" s="23" t="s">
        <v>30</v>
      </c>
      <c r="D71" s="19" t="s">
        <v>153</v>
      </c>
      <c r="E71" s="23">
        <v>1</v>
      </c>
      <c r="F71" s="19" t="s">
        <v>561</v>
      </c>
      <c r="G71" s="19" t="s">
        <v>432</v>
      </c>
      <c r="H71" s="23"/>
      <c r="I71" s="23"/>
      <c r="J71" s="23" t="s">
        <v>403</v>
      </c>
      <c r="K71" s="23">
        <v>0</v>
      </c>
      <c r="L71" s="24">
        <f>$K71/INDEX('Indicator Master'!$N$4:$N$46,MATCH($A71,'Indicator Master'!$A$4:$A$46,0))*'Risk Bands (Config)'!$B$5</f>
        <v>0</v>
      </c>
      <c r="M71" s="23">
        <f>IF($K71=INDEX('Indicator Master'!$N$4:$N$46,MATCH($A71,'Indicator Master'!$A$4:$A$46,0)),1,0)</f>
        <v>0</v>
      </c>
      <c r="N71" s="25"/>
      <c r="O71" s="19" t="s">
        <v>562</v>
      </c>
      <c r="P71" s="19" t="s">
        <v>370</v>
      </c>
      <c r="Q71" s="19" t="s">
        <v>371</v>
      </c>
      <c r="R71" s="26" t="str">
        <f t="shared" si="2"/>
        <v>EWS-018|0</v>
      </c>
    </row>
    <row r="72" spans="1:18" ht="21.75" customHeight="1" x14ac:dyDescent="0.35">
      <c r="A72" s="23" t="s">
        <v>149</v>
      </c>
      <c r="B72" s="19" t="s">
        <v>150</v>
      </c>
      <c r="C72" s="23" t="s">
        <v>30</v>
      </c>
      <c r="D72" s="19" t="s">
        <v>153</v>
      </c>
      <c r="E72" s="23">
        <v>2</v>
      </c>
      <c r="F72" s="19" t="s">
        <v>563</v>
      </c>
      <c r="G72" s="19" t="s">
        <v>432</v>
      </c>
      <c r="H72" s="23"/>
      <c r="I72" s="23"/>
      <c r="J72" s="23" t="s">
        <v>403</v>
      </c>
      <c r="K72" s="23">
        <v>15</v>
      </c>
      <c r="L72" s="24">
        <f>$K72/INDEX('Indicator Master'!$N$4:$N$46,MATCH($A72,'Indicator Master'!$A$4:$A$46,0))*'Risk Bands (Config)'!$B$5</f>
        <v>37.5</v>
      </c>
      <c r="M72" s="23">
        <f>IF($K72=INDEX('Indicator Master'!$N$4:$N$46,MATCH($A72,'Indicator Master'!$A$4:$A$46,0)),1,0)</f>
        <v>0</v>
      </c>
      <c r="N72" s="25"/>
      <c r="O72" s="19" t="s">
        <v>564</v>
      </c>
      <c r="P72" s="19" t="s">
        <v>565</v>
      </c>
      <c r="Q72" s="19" t="s">
        <v>377</v>
      </c>
      <c r="R72" s="26" t="str">
        <f t="shared" si="2"/>
        <v>EWS-018|15</v>
      </c>
    </row>
    <row r="73" spans="1:18" ht="21.75" customHeight="1" x14ac:dyDescent="0.35">
      <c r="A73" s="23" t="s">
        <v>149</v>
      </c>
      <c r="B73" s="19" t="s">
        <v>150</v>
      </c>
      <c r="C73" s="23" t="s">
        <v>30</v>
      </c>
      <c r="D73" s="19" t="s">
        <v>153</v>
      </c>
      <c r="E73" s="23">
        <v>3</v>
      </c>
      <c r="F73" s="19" t="s">
        <v>566</v>
      </c>
      <c r="G73" s="19" t="s">
        <v>432</v>
      </c>
      <c r="H73" s="23"/>
      <c r="I73" s="23"/>
      <c r="J73" s="23" t="s">
        <v>403</v>
      </c>
      <c r="K73" s="23">
        <v>25</v>
      </c>
      <c r="L73" s="24">
        <f>$K73/INDEX('Indicator Master'!$N$4:$N$46,MATCH($A73,'Indicator Master'!$A$4:$A$46,0))*'Risk Bands (Config)'!$B$5</f>
        <v>62.5</v>
      </c>
      <c r="M73" s="23">
        <f>IF($K73=INDEX('Indicator Master'!$N$4:$N$46,MATCH($A73,'Indicator Master'!$A$4:$A$46,0)),1,0)</f>
        <v>0</v>
      </c>
      <c r="N73" s="25"/>
      <c r="O73" s="19" t="s">
        <v>567</v>
      </c>
      <c r="P73" s="19" t="s">
        <v>568</v>
      </c>
      <c r="Q73" s="19" t="s">
        <v>381</v>
      </c>
      <c r="R73" s="26" t="str">
        <f t="shared" si="2"/>
        <v>EWS-018|25</v>
      </c>
    </row>
    <row r="74" spans="1:18" ht="21.75" customHeight="1" x14ac:dyDescent="0.35">
      <c r="A74" s="23" t="s">
        <v>149</v>
      </c>
      <c r="B74" s="19" t="s">
        <v>150</v>
      </c>
      <c r="C74" s="23" t="s">
        <v>30</v>
      </c>
      <c r="D74" s="19" t="s">
        <v>153</v>
      </c>
      <c r="E74" s="23">
        <v>4</v>
      </c>
      <c r="F74" s="19" t="s">
        <v>569</v>
      </c>
      <c r="G74" s="19" t="s">
        <v>432</v>
      </c>
      <c r="H74" s="23"/>
      <c r="I74" s="23"/>
      <c r="J74" s="23" t="s">
        <v>403</v>
      </c>
      <c r="K74" s="23">
        <v>40</v>
      </c>
      <c r="L74" s="24">
        <f>$K74/INDEX('Indicator Master'!$N$4:$N$46,MATCH($A74,'Indicator Master'!$A$4:$A$46,0))*'Risk Bands (Config)'!$B$5</f>
        <v>100</v>
      </c>
      <c r="M74" s="23">
        <f>IF($K74=INDEX('Indicator Master'!$N$4:$N$46,MATCH($A74,'Indicator Master'!$A$4:$A$46,0)),1,0)</f>
        <v>1</v>
      </c>
      <c r="N74" s="25"/>
      <c r="O74" s="19" t="s">
        <v>570</v>
      </c>
      <c r="P74" s="19" t="s">
        <v>571</v>
      </c>
      <c r="Q74" s="19" t="s">
        <v>386</v>
      </c>
      <c r="R74" s="26" t="str">
        <f t="shared" si="2"/>
        <v>EWS-018|40</v>
      </c>
    </row>
    <row r="75" spans="1:18" ht="32.25" customHeight="1" x14ac:dyDescent="0.35">
      <c r="A75" s="23" t="s">
        <v>158</v>
      </c>
      <c r="B75" s="19" t="s">
        <v>159</v>
      </c>
      <c r="C75" s="23" t="s">
        <v>30</v>
      </c>
      <c r="D75" s="19" t="s">
        <v>162</v>
      </c>
      <c r="E75" s="23">
        <v>1</v>
      </c>
      <c r="F75" s="19" t="s">
        <v>572</v>
      </c>
      <c r="G75" s="19" t="s">
        <v>432</v>
      </c>
      <c r="H75" s="23"/>
      <c r="I75" s="23"/>
      <c r="J75" s="23" t="s">
        <v>403</v>
      </c>
      <c r="K75" s="23">
        <v>0</v>
      </c>
      <c r="L75" s="24">
        <f>$K75/INDEX('Indicator Master'!$N$4:$N$46,MATCH($A75,'Indicator Master'!$A$4:$A$46,0))*'Risk Bands (Config)'!$B$5</f>
        <v>0</v>
      </c>
      <c r="M75" s="23">
        <f>IF($K75=INDEX('Indicator Master'!$N$4:$N$46,MATCH($A75,'Indicator Master'!$A$4:$A$46,0)),1,0)</f>
        <v>0</v>
      </c>
      <c r="N75" s="25"/>
      <c r="O75" s="19" t="s">
        <v>573</v>
      </c>
      <c r="P75" s="19" t="s">
        <v>370</v>
      </c>
      <c r="Q75" s="19" t="s">
        <v>371</v>
      </c>
      <c r="R75" s="26" t="str">
        <f t="shared" si="2"/>
        <v>EWS-019|0</v>
      </c>
    </row>
    <row r="76" spans="1:18" ht="32.25" customHeight="1" x14ac:dyDescent="0.35">
      <c r="A76" s="23" t="s">
        <v>158</v>
      </c>
      <c r="B76" s="19" t="s">
        <v>159</v>
      </c>
      <c r="C76" s="23" t="s">
        <v>30</v>
      </c>
      <c r="D76" s="19" t="s">
        <v>162</v>
      </c>
      <c r="E76" s="23">
        <v>2</v>
      </c>
      <c r="F76" s="19" t="s">
        <v>574</v>
      </c>
      <c r="G76" s="19" t="s">
        <v>432</v>
      </c>
      <c r="H76" s="23"/>
      <c r="I76" s="23"/>
      <c r="J76" s="23" t="s">
        <v>403</v>
      </c>
      <c r="K76" s="23">
        <v>10</v>
      </c>
      <c r="L76" s="24">
        <f>$K76/INDEX('Indicator Master'!$N$4:$N$46,MATCH($A76,'Indicator Master'!$A$4:$A$46,0))*'Risk Bands (Config)'!$B$5</f>
        <v>25</v>
      </c>
      <c r="M76" s="23">
        <f>IF($K76=INDEX('Indicator Master'!$N$4:$N$46,MATCH($A76,'Indicator Master'!$A$4:$A$46,0)),1,0)</f>
        <v>0</v>
      </c>
      <c r="N76" s="25"/>
      <c r="O76" s="19" t="s">
        <v>575</v>
      </c>
      <c r="P76" s="19" t="s">
        <v>576</v>
      </c>
      <c r="Q76" s="19" t="s">
        <v>411</v>
      </c>
      <c r="R76" s="26" t="str">
        <f t="shared" si="2"/>
        <v>EWS-019|10</v>
      </c>
    </row>
    <row r="77" spans="1:18" ht="32.25" customHeight="1" x14ac:dyDescent="0.35">
      <c r="A77" s="23" t="s">
        <v>158</v>
      </c>
      <c r="B77" s="19" t="s">
        <v>159</v>
      </c>
      <c r="C77" s="23" t="s">
        <v>30</v>
      </c>
      <c r="D77" s="19" t="s">
        <v>162</v>
      </c>
      <c r="E77" s="23">
        <v>3</v>
      </c>
      <c r="F77" s="19" t="s">
        <v>577</v>
      </c>
      <c r="G77" s="19" t="s">
        <v>432</v>
      </c>
      <c r="H77" s="23"/>
      <c r="I77" s="23"/>
      <c r="J77" s="23" t="s">
        <v>403</v>
      </c>
      <c r="K77" s="23">
        <v>25</v>
      </c>
      <c r="L77" s="24">
        <f>$K77/INDEX('Indicator Master'!$N$4:$N$46,MATCH($A77,'Indicator Master'!$A$4:$A$46,0))*'Risk Bands (Config)'!$B$5</f>
        <v>62.5</v>
      </c>
      <c r="M77" s="23">
        <f>IF($K77=INDEX('Indicator Master'!$N$4:$N$46,MATCH($A77,'Indicator Master'!$A$4:$A$46,0)),1,0)</f>
        <v>0</v>
      </c>
      <c r="N77" s="25"/>
      <c r="O77" s="19" t="s">
        <v>578</v>
      </c>
      <c r="P77" s="19" t="s">
        <v>579</v>
      </c>
      <c r="Q77" s="19" t="s">
        <v>381</v>
      </c>
      <c r="R77" s="26" t="str">
        <f t="shared" si="2"/>
        <v>EWS-019|25</v>
      </c>
    </row>
    <row r="78" spans="1:18" ht="32.25" customHeight="1" x14ac:dyDescent="0.35">
      <c r="A78" s="23" t="s">
        <v>158</v>
      </c>
      <c r="B78" s="19" t="s">
        <v>159</v>
      </c>
      <c r="C78" s="23" t="s">
        <v>30</v>
      </c>
      <c r="D78" s="19" t="s">
        <v>162</v>
      </c>
      <c r="E78" s="23">
        <v>4</v>
      </c>
      <c r="F78" s="19" t="s">
        <v>580</v>
      </c>
      <c r="G78" s="19" t="s">
        <v>432</v>
      </c>
      <c r="H78" s="23"/>
      <c r="I78" s="23"/>
      <c r="J78" s="23" t="s">
        <v>403</v>
      </c>
      <c r="K78" s="23">
        <v>40</v>
      </c>
      <c r="L78" s="24">
        <f>$K78/INDEX('Indicator Master'!$N$4:$N$46,MATCH($A78,'Indicator Master'!$A$4:$A$46,0))*'Risk Bands (Config)'!$B$5</f>
        <v>100</v>
      </c>
      <c r="M78" s="23">
        <f>IF($K78=INDEX('Indicator Master'!$N$4:$N$46,MATCH($A78,'Indicator Master'!$A$4:$A$46,0)),1,0)</f>
        <v>1</v>
      </c>
      <c r="N78" s="25"/>
      <c r="O78" s="19" t="s">
        <v>581</v>
      </c>
      <c r="P78" s="19" t="s">
        <v>582</v>
      </c>
      <c r="Q78" s="19" t="s">
        <v>386</v>
      </c>
      <c r="R78" s="26" t="str">
        <f t="shared" si="2"/>
        <v>EWS-019|40</v>
      </c>
    </row>
    <row r="79" spans="1:18" ht="21.75" customHeight="1" x14ac:dyDescent="0.35">
      <c r="A79" s="23" t="s">
        <v>167</v>
      </c>
      <c r="B79" s="19" t="s">
        <v>168</v>
      </c>
      <c r="C79" s="23" t="s">
        <v>30</v>
      </c>
      <c r="D79" s="19" t="s">
        <v>170</v>
      </c>
      <c r="E79" s="23">
        <v>1</v>
      </c>
      <c r="F79" s="19" t="s">
        <v>583</v>
      </c>
      <c r="G79" s="19" t="s">
        <v>432</v>
      </c>
      <c r="H79" s="23"/>
      <c r="I79" s="23"/>
      <c r="J79" s="23" t="s">
        <v>403</v>
      </c>
      <c r="K79" s="23">
        <v>0</v>
      </c>
      <c r="L79" s="24">
        <f>$K79/INDEX('Indicator Master'!$N$4:$N$46,MATCH($A79,'Indicator Master'!$A$4:$A$46,0))*'Risk Bands (Config)'!$B$5</f>
        <v>0</v>
      </c>
      <c r="M79" s="23">
        <f>IF($K79=INDEX('Indicator Master'!$N$4:$N$46,MATCH($A79,'Indicator Master'!$A$4:$A$46,0)),1,0)</f>
        <v>0</v>
      </c>
      <c r="N79" s="25"/>
      <c r="O79" s="19" t="s">
        <v>584</v>
      </c>
      <c r="P79" s="19" t="s">
        <v>370</v>
      </c>
      <c r="Q79" s="19" t="s">
        <v>371</v>
      </c>
      <c r="R79" s="26" t="str">
        <f t="shared" si="2"/>
        <v>EWS-020|0</v>
      </c>
    </row>
    <row r="80" spans="1:18" ht="21.75" customHeight="1" x14ac:dyDescent="0.35">
      <c r="A80" s="23" t="s">
        <v>167</v>
      </c>
      <c r="B80" s="19" t="s">
        <v>168</v>
      </c>
      <c r="C80" s="23" t="s">
        <v>30</v>
      </c>
      <c r="D80" s="19" t="s">
        <v>170</v>
      </c>
      <c r="E80" s="23">
        <v>2</v>
      </c>
      <c r="F80" s="19" t="s">
        <v>585</v>
      </c>
      <c r="G80" s="19" t="s">
        <v>432</v>
      </c>
      <c r="H80" s="23"/>
      <c r="I80" s="23"/>
      <c r="J80" s="23" t="s">
        <v>403</v>
      </c>
      <c r="K80" s="23">
        <v>10</v>
      </c>
      <c r="L80" s="24">
        <f>$K80/INDEX('Indicator Master'!$N$4:$N$46,MATCH($A80,'Indicator Master'!$A$4:$A$46,0))*'Risk Bands (Config)'!$B$5</f>
        <v>25</v>
      </c>
      <c r="M80" s="23">
        <f>IF($K80=INDEX('Indicator Master'!$N$4:$N$46,MATCH($A80,'Indicator Master'!$A$4:$A$46,0)),1,0)</f>
        <v>0</v>
      </c>
      <c r="N80" s="25"/>
      <c r="O80" s="19" t="s">
        <v>586</v>
      </c>
      <c r="P80" s="19" t="s">
        <v>587</v>
      </c>
      <c r="Q80" s="19" t="s">
        <v>411</v>
      </c>
      <c r="R80" s="26" t="str">
        <f t="shared" si="2"/>
        <v>EWS-020|10</v>
      </c>
    </row>
    <row r="81" spans="1:18" ht="21.75" customHeight="1" x14ac:dyDescent="0.35">
      <c r="A81" s="23" t="s">
        <v>167</v>
      </c>
      <c r="B81" s="19" t="s">
        <v>168</v>
      </c>
      <c r="C81" s="23" t="s">
        <v>30</v>
      </c>
      <c r="D81" s="19" t="s">
        <v>170</v>
      </c>
      <c r="E81" s="23">
        <v>3</v>
      </c>
      <c r="F81" s="19" t="s">
        <v>588</v>
      </c>
      <c r="G81" s="19" t="s">
        <v>432</v>
      </c>
      <c r="H81" s="23"/>
      <c r="I81" s="23"/>
      <c r="J81" s="23" t="s">
        <v>403</v>
      </c>
      <c r="K81" s="23">
        <v>25</v>
      </c>
      <c r="L81" s="24">
        <f>$K81/INDEX('Indicator Master'!$N$4:$N$46,MATCH($A81,'Indicator Master'!$A$4:$A$46,0))*'Risk Bands (Config)'!$B$5</f>
        <v>62.5</v>
      </c>
      <c r="M81" s="23">
        <f>IF($K81=INDEX('Indicator Master'!$N$4:$N$46,MATCH($A81,'Indicator Master'!$A$4:$A$46,0)),1,0)</f>
        <v>0</v>
      </c>
      <c r="N81" s="25"/>
      <c r="O81" s="19" t="s">
        <v>589</v>
      </c>
      <c r="P81" s="19" t="s">
        <v>590</v>
      </c>
      <c r="Q81" s="19" t="s">
        <v>381</v>
      </c>
      <c r="R81" s="26" t="str">
        <f t="shared" si="2"/>
        <v>EWS-020|25</v>
      </c>
    </row>
    <row r="82" spans="1:18" ht="21.75" customHeight="1" x14ac:dyDescent="0.35">
      <c r="A82" s="23" t="s">
        <v>167</v>
      </c>
      <c r="B82" s="19" t="s">
        <v>168</v>
      </c>
      <c r="C82" s="23" t="s">
        <v>30</v>
      </c>
      <c r="D82" s="19" t="s">
        <v>170</v>
      </c>
      <c r="E82" s="23">
        <v>4</v>
      </c>
      <c r="F82" s="19" t="s">
        <v>591</v>
      </c>
      <c r="G82" s="19" t="s">
        <v>432</v>
      </c>
      <c r="H82" s="23"/>
      <c r="I82" s="23"/>
      <c r="J82" s="23" t="s">
        <v>403</v>
      </c>
      <c r="K82" s="23">
        <v>40</v>
      </c>
      <c r="L82" s="24">
        <f>$K82/INDEX('Indicator Master'!$N$4:$N$46,MATCH($A82,'Indicator Master'!$A$4:$A$46,0))*'Risk Bands (Config)'!$B$5</f>
        <v>100</v>
      </c>
      <c r="M82" s="23">
        <f>IF($K82=INDEX('Indicator Master'!$N$4:$N$46,MATCH($A82,'Indicator Master'!$A$4:$A$46,0)),1,0)</f>
        <v>1</v>
      </c>
      <c r="N82" s="25"/>
      <c r="O82" s="19" t="s">
        <v>592</v>
      </c>
      <c r="P82" s="19" t="s">
        <v>593</v>
      </c>
      <c r="Q82" s="19" t="s">
        <v>386</v>
      </c>
      <c r="R82" s="26" t="str">
        <f t="shared" si="2"/>
        <v>EWS-020|40</v>
      </c>
    </row>
    <row r="83" spans="1:18" ht="21.75" customHeight="1" x14ac:dyDescent="0.35">
      <c r="A83" s="23" t="s">
        <v>173</v>
      </c>
      <c r="B83" s="19" t="s">
        <v>174</v>
      </c>
      <c r="C83" s="23" t="s">
        <v>30</v>
      </c>
      <c r="D83" s="19" t="s">
        <v>177</v>
      </c>
      <c r="E83" s="23">
        <v>1</v>
      </c>
      <c r="F83" s="19" t="s">
        <v>594</v>
      </c>
      <c r="G83" s="19" t="s">
        <v>432</v>
      </c>
      <c r="H83" s="23"/>
      <c r="I83" s="23"/>
      <c r="J83" s="23" t="s">
        <v>403</v>
      </c>
      <c r="K83" s="23">
        <v>0</v>
      </c>
      <c r="L83" s="24">
        <f>$K83/INDEX('Indicator Master'!$N$4:$N$46,MATCH($A83,'Indicator Master'!$A$4:$A$46,0))*'Risk Bands (Config)'!$B$5</f>
        <v>0</v>
      </c>
      <c r="M83" s="23">
        <f>IF($K83=INDEX('Indicator Master'!$N$4:$N$46,MATCH($A83,'Indicator Master'!$A$4:$A$46,0)),1,0)</f>
        <v>0</v>
      </c>
      <c r="N83" s="25"/>
      <c r="O83" s="19" t="s">
        <v>595</v>
      </c>
      <c r="P83" s="19" t="s">
        <v>370</v>
      </c>
      <c r="Q83" s="19" t="s">
        <v>371</v>
      </c>
      <c r="R83" s="26" t="str">
        <f t="shared" si="2"/>
        <v>EWS-021|0</v>
      </c>
    </row>
    <row r="84" spans="1:18" ht="21.75" customHeight="1" x14ac:dyDescent="0.35">
      <c r="A84" s="23" t="s">
        <v>173</v>
      </c>
      <c r="B84" s="19" t="s">
        <v>174</v>
      </c>
      <c r="C84" s="23" t="s">
        <v>30</v>
      </c>
      <c r="D84" s="19" t="s">
        <v>177</v>
      </c>
      <c r="E84" s="23">
        <v>2</v>
      </c>
      <c r="F84" s="19" t="s">
        <v>596</v>
      </c>
      <c r="G84" s="19" t="s">
        <v>432</v>
      </c>
      <c r="H84" s="23"/>
      <c r="I84" s="23"/>
      <c r="J84" s="23" t="s">
        <v>403</v>
      </c>
      <c r="K84" s="23">
        <v>10</v>
      </c>
      <c r="L84" s="24">
        <f>$K84/INDEX('Indicator Master'!$N$4:$N$46,MATCH($A84,'Indicator Master'!$A$4:$A$46,0))*'Risk Bands (Config)'!$B$5</f>
        <v>25</v>
      </c>
      <c r="M84" s="23">
        <f>IF($K84=INDEX('Indicator Master'!$N$4:$N$46,MATCH($A84,'Indicator Master'!$A$4:$A$46,0)),1,0)</f>
        <v>0</v>
      </c>
      <c r="N84" s="25"/>
      <c r="O84" s="19" t="s">
        <v>597</v>
      </c>
      <c r="P84" s="19" t="s">
        <v>598</v>
      </c>
      <c r="Q84" s="19" t="s">
        <v>411</v>
      </c>
      <c r="R84" s="26" t="str">
        <f t="shared" si="2"/>
        <v>EWS-021|10</v>
      </c>
    </row>
    <row r="85" spans="1:18" ht="21.75" customHeight="1" x14ac:dyDescent="0.35">
      <c r="A85" s="23" t="s">
        <v>173</v>
      </c>
      <c r="B85" s="19" t="s">
        <v>174</v>
      </c>
      <c r="C85" s="23" t="s">
        <v>30</v>
      </c>
      <c r="D85" s="19" t="s">
        <v>177</v>
      </c>
      <c r="E85" s="23">
        <v>3</v>
      </c>
      <c r="F85" s="19" t="s">
        <v>599</v>
      </c>
      <c r="G85" s="19" t="s">
        <v>432</v>
      </c>
      <c r="H85" s="23"/>
      <c r="I85" s="23"/>
      <c r="J85" s="23" t="s">
        <v>403</v>
      </c>
      <c r="K85" s="23">
        <v>25</v>
      </c>
      <c r="L85" s="24">
        <f>$K85/INDEX('Indicator Master'!$N$4:$N$46,MATCH($A85,'Indicator Master'!$A$4:$A$46,0))*'Risk Bands (Config)'!$B$5</f>
        <v>62.5</v>
      </c>
      <c r="M85" s="23">
        <f>IF($K85=INDEX('Indicator Master'!$N$4:$N$46,MATCH($A85,'Indicator Master'!$A$4:$A$46,0)),1,0)</f>
        <v>0</v>
      </c>
      <c r="N85" s="25"/>
      <c r="O85" s="19" t="s">
        <v>600</v>
      </c>
      <c r="P85" s="19" t="s">
        <v>601</v>
      </c>
      <c r="Q85" s="19" t="s">
        <v>381</v>
      </c>
      <c r="R85" s="26" t="str">
        <f t="shared" si="2"/>
        <v>EWS-021|25</v>
      </c>
    </row>
    <row r="86" spans="1:18" ht="21.75" customHeight="1" x14ac:dyDescent="0.35">
      <c r="A86" s="23" t="s">
        <v>173</v>
      </c>
      <c r="B86" s="19" t="s">
        <v>174</v>
      </c>
      <c r="C86" s="23" t="s">
        <v>30</v>
      </c>
      <c r="D86" s="19" t="s">
        <v>177</v>
      </c>
      <c r="E86" s="23">
        <v>4</v>
      </c>
      <c r="F86" s="19" t="s">
        <v>602</v>
      </c>
      <c r="G86" s="19" t="s">
        <v>432</v>
      </c>
      <c r="H86" s="23"/>
      <c r="I86" s="23"/>
      <c r="J86" s="23" t="s">
        <v>403</v>
      </c>
      <c r="K86" s="23">
        <v>40</v>
      </c>
      <c r="L86" s="24">
        <f>$K86/INDEX('Indicator Master'!$N$4:$N$46,MATCH($A86,'Indicator Master'!$A$4:$A$46,0))*'Risk Bands (Config)'!$B$5</f>
        <v>100</v>
      </c>
      <c r="M86" s="23">
        <f>IF($K86=INDEX('Indicator Master'!$N$4:$N$46,MATCH($A86,'Indicator Master'!$A$4:$A$46,0)),1,0)</f>
        <v>1</v>
      </c>
      <c r="N86" s="25"/>
      <c r="O86" s="19" t="s">
        <v>603</v>
      </c>
      <c r="P86" s="19" t="s">
        <v>604</v>
      </c>
      <c r="Q86" s="19" t="s">
        <v>386</v>
      </c>
      <c r="R86" s="26" t="str">
        <f t="shared" si="2"/>
        <v>EWS-021|40</v>
      </c>
    </row>
    <row r="87" spans="1:18" ht="21.75" customHeight="1" x14ac:dyDescent="0.35">
      <c r="A87" s="23" t="s">
        <v>180</v>
      </c>
      <c r="B87" s="19" t="s">
        <v>181</v>
      </c>
      <c r="C87" s="23" t="s">
        <v>30</v>
      </c>
      <c r="D87" s="19" t="s">
        <v>183</v>
      </c>
      <c r="E87" s="23">
        <v>1</v>
      </c>
      <c r="F87" s="19" t="s">
        <v>605</v>
      </c>
      <c r="G87" s="19" t="s">
        <v>367</v>
      </c>
      <c r="H87" s="23"/>
      <c r="I87" s="23">
        <v>0</v>
      </c>
      <c r="J87" s="23" t="s">
        <v>445</v>
      </c>
      <c r="K87" s="23">
        <v>0</v>
      </c>
      <c r="L87" s="24">
        <f>$K87/INDEX('Indicator Master'!$N$4:$N$46,MATCH($A87,'Indicator Master'!$A$4:$A$46,0))*'Risk Bands (Config)'!$B$5</f>
        <v>0</v>
      </c>
      <c r="M87" s="23">
        <f>IF($K87=INDEX('Indicator Master'!$N$4:$N$46,MATCH($A87,'Indicator Master'!$A$4:$A$46,0)),1,0)</f>
        <v>0</v>
      </c>
      <c r="N87" s="25"/>
      <c r="O87" s="19" t="s">
        <v>606</v>
      </c>
      <c r="P87" s="19" t="s">
        <v>370</v>
      </c>
      <c r="Q87" s="19" t="s">
        <v>371</v>
      </c>
      <c r="R87" s="26" t="str">
        <f t="shared" si="2"/>
        <v>EWS-022|0</v>
      </c>
    </row>
    <row r="88" spans="1:18" ht="21.75" customHeight="1" x14ac:dyDescent="0.35">
      <c r="A88" s="23" t="s">
        <v>180</v>
      </c>
      <c r="B88" s="19" t="s">
        <v>181</v>
      </c>
      <c r="C88" s="23" t="s">
        <v>30</v>
      </c>
      <c r="D88" s="19" t="s">
        <v>183</v>
      </c>
      <c r="E88" s="23">
        <v>2</v>
      </c>
      <c r="F88" s="19" t="s">
        <v>607</v>
      </c>
      <c r="G88" s="19" t="s">
        <v>373</v>
      </c>
      <c r="H88" s="23">
        <v>0</v>
      </c>
      <c r="I88" s="23">
        <v>5</v>
      </c>
      <c r="J88" s="23" t="s">
        <v>448</v>
      </c>
      <c r="K88" s="23">
        <v>10</v>
      </c>
      <c r="L88" s="24">
        <f>$K88/INDEX('Indicator Master'!$N$4:$N$46,MATCH($A88,'Indicator Master'!$A$4:$A$46,0))*'Risk Bands (Config)'!$B$5</f>
        <v>25</v>
      </c>
      <c r="M88" s="23">
        <f>IF($K88=INDEX('Indicator Master'!$N$4:$N$46,MATCH($A88,'Indicator Master'!$A$4:$A$46,0)),1,0)</f>
        <v>0</v>
      </c>
      <c r="N88" s="25"/>
      <c r="O88" s="19" t="s">
        <v>608</v>
      </c>
      <c r="P88" s="19" t="s">
        <v>609</v>
      </c>
      <c r="Q88" s="19" t="s">
        <v>411</v>
      </c>
      <c r="R88" s="26" t="str">
        <f t="shared" si="2"/>
        <v>EWS-022|10</v>
      </c>
    </row>
    <row r="89" spans="1:18" ht="21.75" customHeight="1" x14ac:dyDescent="0.35">
      <c r="A89" s="23" t="s">
        <v>180</v>
      </c>
      <c r="B89" s="19" t="s">
        <v>181</v>
      </c>
      <c r="C89" s="23" t="s">
        <v>30</v>
      </c>
      <c r="D89" s="19" t="s">
        <v>183</v>
      </c>
      <c r="E89" s="23">
        <v>3</v>
      </c>
      <c r="F89" s="19" t="s">
        <v>610</v>
      </c>
      <c r="G89" s="19" t="s">
        <v>373</v>
      </c>
      <c r="H89" s="23">
        <v>5</v>
      </c>
      <c r="I89" s="23">
        <v>10</v>
      </c>
      <c r="J89" s="23" t="s">
        <v>448</v>
      </c>
      <c r="K89" s="23">
        <v>20</v>
      </c>
      <c r="L89" s="24">
        <f>$K89/INDEX('Indicator Master'!$N$4:$N$46,MATCH($A89,'Indicator Master'!$A$4:$A$46,0))*'Risk Bands (Config)'!$B$5</f>
        <v>50</v>
      </c>
      <c r="M89" s="23">
        <f>IF($K89=INDEX('Indicator Master'!$N$4:$N$46,MATCH($A89,'Indicator Master'!$A$4:$A$46,0)),1,0)</f>
        <v>0</v>
      </c>
      <c r="N89" s="25"/>
      <c r="O89" s="19" t="s">
        <v>611</v>
      </c>
      <c r="P89" s="19" t="s">
        <v>612</v>
      </c>
      <c r="Q89" s="19" t="s">
        <v>377</v>
      </c>
      <c r="R89" s="26" t="str">
        <f t="shared" si="2"/>
        <v>EWS-022|20</v>
      </c>
    </row>
    <row r="90" spans="1:18" ht="21.75" customHeight="1" x14ac:dyDescent="0.35">
      <c r="A90" s="23" t="s">
        <v>180</v>
      </c>
      <c r="B90" s="19" t="s">
        <v>181</v>
      </c>
      <c r="C90" s="23" t="s">
        <v>30</v>
      </c>
      <c r="D90" s="19" t="s">
        <v>183</v>
      </c>
      <c r="E90" s="23">
        <v>4</v>
      </c>
      <c r="F90" s="19" t="s">
        <v>613</v>
      </c>
      <c r="G90" s="19" t="s">
        <v>373</v>
      </c>
      <c r="H90" s="23">
        <v>10</v>
      </c>
      <c r="I90" s="23">
        <v>20</v>
      </c>
      <c r="J90" s="23" t="s">
        <v>448</v>
      </c>
      <c r="K90" s="23">
        <v>30</v>
      </c>
      <c r="L90" s="24">
        <f>$K90/INDEX('Indicator Master'!$N$4:$N$46,MATCH($A90,'Indicator Master'!$A$4:$A$46,0))*'Risk Bands (Config)'!$B$5</f>
        <v>75</v>
      </c>
      <c r="M90" s="23">
        <f>IF($K90=INDEX('Indicator Master'!$N$4:$N$46,MATCH($A90,'Indicator Master'!$A$4:$A$46,0)),1,0)</f>
        <v>0</v>
      </c>
      <c r="N90" s="25"/>
      <c r="O90" s="19" t="s">
        <v>614</v>
      </c>
      <c r="P90" s="19" t="s">
        <v>615</v>
      </c>
      <c r="Q90" s="19" t="s">
        <v>440</v>
      </c>
      <c r="R90" s="26" t="str">
        <f t="shared" si="2"/>
        <v>EWS-022|30</v>
      </c>
    </row>
    <row r="91" spans="1:18" ht="21.75" customHeight="1" x14ac:dyDescent="0.35">
      <c r="A91" s="23" t="s">
        <v>180</v>
      </c>
      <c r="B91" s="19" t="s">
        <v>181</v>
      </c>
      <c r="C91" s="23" t="s">
        <v>30</v>
      </c>
      <c r="D91" s="19" t="s">
        <v>183</v>
      </c>
      <c r="E91" s="23">
        <v>5</v>
      </c>
      <c r="F91" s="19" t="s">
        <v>454</v>
      </c>
      <c r="G91" s="19" t="s">
        <v>367</v>
      </c>
      <c r="H91" s="23">
        <v>20</v>
      </c>
      <c r="I91" s="23"/>
      <c r="J91" s="23" t="s">
        <v>416</v>
      </c>
      <c r="K91" s="23">
        <v>40</v>
      </c>
      <c r="L91" s="24">
        <f>$K91/INDEX('Indicator Master'!$N$4:$N$46,MATCH($A91,'Indicator Master'!$A$4:$A$46,0))*'Risk Bands (Config)'!$B$5</f>
        <v>100</v>
      </c>
      <c r="M91" s="23">
        <f>IF($K91=INDEX('Indicator Master'!$N$4:$N$46,MATCH($A91,'Indicator Master'!$A$4:$A$46,0)),1,0)</f>
        <v>1</v>
      </c>
      <c r="N91" s="25"/>
      <c r="O91" s="19" t="s">
        <v>616</v>
      </c>
      <c r="P91" s="19" t="s">
        <v>617</v>
      </c>
      <c r="Q91" s="19" t="s">
        <v>386</v>
      </c>
      <c r="R91" s="26" t="str">
        <f t="shared" si="2"/>
        <v>EWS-022|40</v>
      </c>
    </row>
    <row r="92" spans="1:18" ht="21.75" customHeight="1" x14ac:dyDescent="0.35">
      <c r="A92" s="23" t="s">
        <v>188</v>
      </c>
      <c r="B92" s="19" t="s">
        <v>189</v>
      </c>
      <c r="C92" s="23" t="s">
        <v>30</v>
      </c>
      <c r="D92" s="19" t="s">
        <v>191</v>
      </c>
      <c r="E92" s="23">
        <v>1</v>
      </c>
      <c r="F92" s="19" t="s">
        <v>605</v>
      </c>
      <c r="G92" s="19" t="s">
        <v>367</v>
      </c>
      <c r="H92" s="23"/>
      <c r="I92" s="23">
        <v>0</v>
      </c>
      <c r="J92" s="23" t="s">
        <v>445</v>
      </c>
      <c r="K92" s="23">
        <v>0</v>
      </c>
      <c r="L92" s="24">
        <f>$K92/INDEX('Indicator Master'!$N$4:$N$46,MATCH($A92,'Indicator Master'!$A$4:$A$46,0))*'Risk Bands (Config)'!$B$5</f>
        <v>0</v>
      </c>
      <c r="M92" s="23">
        <f>IF($K92=INDEX('Indicator Master'!$N$4:$N$46,MATCH($A92,'Indicator Master'!$A$4:$A$46,0)),1,0)</f>
        <v>0</v>
      </c>
      <c r="N92" s="25"/>
      <c r="O92" s="19" t="s">
        <v>618</v>
      </c>
      <c r="P92" s="19" t="s">
        <v>370</v>
      </c>
      <c r="Q92" s="19" t="s">
        <v>371</v>
      </c>
      <c r="R92" s="26" t="str">
        <f t="shared" si="2"/>
        <v>EWS-023|0</v>
      </c>
    </row>
    <row r="93" spans="1:18" ht="21.75" customHeight="1" x14ac:dyDescent="0.35">
      <c r="A93" s="23" t="s">
        <v>188</v>
      </c>
      <c r="B93" s="19" t="s">
        <v>189</v>
      </c>
      <c r="C93" s="23" t="s">
        <v>30</v>
      </c>
      <c r="D93" s="19" t="s">
        <v>191</v>
      </c>
      <c r="E93" s="23">
        <v>2</v>
      </c>
      <c r="F93" s="19" t="s">
        <v>607</v>
      </c>
      <c r="G93" s="19" t="s">
        <v>373</v>
      </c>
      <c r="H93" s="23">
        <v>0</v>
      </c>
      <c r="I93" s="23">
        <v>5</v>
      </c>
      <c r="J93" s="23" t="s">
        <v>448</v>
      </c>
      <c r="K93" s="23">
        <v>10</v>
      </c>
      <c r="L93" s="24">
        <f>$K93/INDEX('Indicator Master'!$N$4:$N$46,MATCH($A93,'Indicator Master'!$A$4:$A$46,0))*'Risk Bands (Config)'!$B$5</f>
        <v>25</v>
      </c>
      <c r="M93" s="23">
        <f>IF($K93=INDEX('Indicator Master'!$N$4:$N$46,MATCH($A93,'Indicator Master'!$A$4:$A$46,0)),1,0)</f>
        <v>0</v>
      </c>
      <c r="N93" s="25"/>
      <c r="O93" s="19" t="s">
        <v>619</v>
      </c>
      <c r="P93" s="19" t="s">
        <v>620</v>
      </c>
      <c r="Q93" s="19" t="s">
        <v>411</v>
      </c>
      <c r="R93" s="26" t="str">
        <f t="shared" si="2"/>
        <v>EWS-023|10</v>
      </c>
    </row>
    <row r="94" spans="1:18" ht="21.75" customHeight="1" x14ac:dyDescent="0.35">
      <c r="A94" s="23" t="s">
        <v>188</v>
      </c>
      <c r="B94" s="19" t="s">
        <v>189</v>
      </c>
      <c r="C94" s="23" t="s">
        <v>30</v>
      </c>
      <c r="D94" s="19" t="s">
        <v>191</v>
      </c>
      <c r="E94" s="23">
        <v>3</v>
      </c>
      <c r="F94" s="19" t="s">
        <v>610</v>
      </c>
      <c r="G94" s="19" t="s">
        <v>373</v>
      </c>
      <c r="H94" s="23">
        <v>5</v>
      </c>
      <c r="I94" s="23">
        <v>10</v>
      </c>
      <c r="J94" s="23" t="s">
        <v>448</v>
      </c>
      <c r="K94" s="23">
        <v>20</v>
      </c>
      <c r="L94" s="24">
        <f>$K94/INDEX('Indicator Master'!$N$4:$N$46,MATCH($A94,'Indicator Master'!$A$4:$A$46,0))*'Risk Bands (Config)'!$B$5</f>
        <v>50</v>
      </c>
      <c r="M94" s="23">
        <f>IF($K94=INDEX('Indicator Master'!$N$4:$N$46,MATCH($A94,'Indicator Master'!$A$4:$A$46,0)),1,0)</f>
        <v>0</v>
      </c>
      <c r="N94" s="25"/>
      <c r="O94" s="19" t="s">
        <v>621</v>
      </c>
      <c r="P94" s="19" t="s">
        <v>622</v>
      </c>
      <c r="Q94" s="19" t="s">
        <v>377</v>
      </c>
      <c r="R94" s="26" t="str">
        <f t="shared" si="2"/>
        <v>EWS-023|20</v>
      </c>
    </row>
    <row r="95" spans="1:18" ht="21.75" customHeight="1" x14ac:dyDescent="0.35">
      <c r="A95" s="23" t="s">
        <v>188</v>
      </c>
      <c r="B95" s="19" t="s">
        <v>189</v>
      </c>
      <c r="C95" s="23" t="s">
        <v>30</v>
      </c>
      <c r="D95" s="19" t="s">
        <v>191</v>
      </c>
      <c r="E95" s="23">
        <v>4</v>
      </c>
      <c r="F95" s="19" t="s">
        <v>613</v>
      </c>
      <c r="G95" s="19" t="s">
        <v>373</v>
      </c>
      <c r="H95" s="23">
        <v>10</v>
      </c>
      <c r="I95" s="23">
        <v>20</v>
      </c>
      <c r="J95" s="23" t="s">
        <v>448</v>
      </c>
      <c r="K95" s="23">
        <v>30</v>
      </c>
      <c r="L95" s="24">
        <f>$K95/INDEX('Indicator Master'!$N$4:$N$46,MATCH($A95,'Indicator Master'!$A$4:$A$46,0))*'Risk Bands (Config)'!$B$5</f>
        <v>75</v>
      </c>
      <c r="M95" s="23">
        <f>IF($K95=INDEX('Indicator Master'!$N$4:$N$46,MATCH($A95,'Indicator Master'!$A$4:$A$46,0)),1,0)</f>
        <v>0</v>
      </c>
      <c r="N95" s="25"/>
      <c r="O95" s="19" t="s">
        <v>623</v>
      </c>
      <c r="P95" s="19" t="s">
        <v>624</v>
      </c>
      <c r="Q95" s="19" t="s">
        <v>440</v>
      </c>
      <c r="R95" s="26" t="str">
        <f t="shared" si="2"/>
        <v>EWS-023|30</v>
      </c>
    </row>
    <row r="96" spans="1:18" ht="21.75" customHeight="1" x14ac:dyDescent="0.35">
      <c r="A96" s="23" t="s">
        <v>188</v>
      </c>
      <c r="B96" s="19" t="s">
        <v>189</v>
      </c>
      <c r="C96" s="23" t="s">
        <v>30</v>
      </c>
      <c r="D96" s="19" t="s">
        <v>191</v>
      </c>
      <c r="E96" s="23">
        <v>5</v>
      </c>
      <c r="F96" s="19" t="s">
        <v>454</v>
      </c>
      <c r="G96" s="19" t="s">
        <v>367</v>
      </c>
      <c r="H96" s="23">
        <v>20</v>
      </c>
      <c r="I96" s="23"/>
      <c r="J96" s="23" t="s">
        <v>416</v>
      </c>
      <c r="K96" s="23">
        <v>40</v>
      </c>
      <c r="L96" s="24">
        <f>$K96/INDEX('Indicator Master'!$N$4:$N$46,MATCH($A96,'Indicator Master'!$A$4:$A$46,0))*'Risk Bands (Config)'!$B$5</f>
        <v>100</v>
      </c>
      <c r="M96" s="23">
        <f>IF($K96=INDEX('Indicator Master'!$N$4:$N$46,MATCH($A96,'Indicator Master'!$A$4:$A$46,0)),1,0)</f>
        <v>1</v>
      </c>
      <c r="N96" s="25"/>
      <c r="O96" s="19" t="s">
        <v>625</v>
      </c>
      <c r="P96" s="19" t="s">
        <v>626</v>
      </c>
      <c r="Q96" s="19" t="s">
        <v>386</v>
      </c>
      <c r="R96" s="26" t="str">
        <f t="shared" si="2"/>
        <v>EWS-023|40</v>
      </c>
    </row>
    <row r="97" spans="1:18" ht="21.75" customHeight="1" x14ac:dyDescent="0.35">
      <c r="A97" s="23" t="s">
        <v>194</v>
      </c>
      <c r="B97" s="19" t="s">
        <v>195</v>
      </c>
      <c r="C97" s="23" t="s">
        <v>30</v>
      </c>
      <c r="D97" s="19" t="s">
        <v>197</v>
      </c>
      <c r="E97" s="23">
        <v>1</v>
      </c>
      <c r="F97" s="19" t="s">
        <v>605</v>
      </c>
      <c r="G97" s="19" t="s">
        <v>367</v>
      </c>
      <c r="H97" s="23"/>
      <c r="I97" s="23">
        <v>0</v>
      </c>
      <c r="J97" s="23" t="s">
        <v>445</v>
      </c>
      <c r="K97" s="23">
        <v>0</v>
      </c>
      <c r="L97" s="24">
        <f>$K97/INDEX('Indicator Master'!$N$4:$N$46,MATCH($A97,'Indicator Master'!$A$4:$A$46,0))*'Risk Bands (Config)'!$B$5</f>
        <v>0</v>
      </c>
      <c r="M97" s="23">
        <f>IF($K97=INDEX('Indicator Master'!$N$4:$N$46,MATCH($A97,'Indicator Master'!$A$4:$A$46,0)),1,0)</f>
        <v>0</v>
      </c>
      <c r="N97" s="25"/>
      <c r="O97" s="19" t="s">
        <v>627</v>
      </c>
      <c r="P97" s="19" t="s">
        <v>370</v>
      </c>
      <c r="Q97" s="19" t="s">
        <v>371</v>
      </c>
      <c r="R97" s="26" t="str">
        <f t="shared" si="2"/>
        <v>EWS-024|0</v>
      </c>
    </row>
    <row r="98" spans="1:18" ht="21.75" customHeight="1" x14ac:dyDescent="0.35">
      <c r="A98" s="23" t="s">
        <v>194</v>
      </c>
      <c r="B98" s="19" t="s">
        <v>195</v>
      </c>
      <c r="C98" s="23" t="s">
        <v>30</v>
      </c>
      <c r="D98" s="19" t="s">
        <v>197</v>
      </c>
      <c r="E98" s="23">
        <v>2</v>
      </c>
      <c r="F98" s="19" t="s">
        <v>628</v>
      </c>
      <c r="G98" s="19" t="s">
        <v>373</v>
      </c>
      <c r="H98" s="23">
        <v>0</v>
      </c>
      <c r="I98" s="23">
        <v>10</v>
      </c>
      <c r="J98" s="23" t="s">
        <v>448</v>
      </c>
      <c r="K98" s="23">
        <v>10</v>
      </c>
      <c r="L98" s="24">
        <f>$K98/INDEX('Indicator Master'!$N$4:$N$46,MATCH($A98,'Indicator Master'!$A$4:$A$46,0))*'Risk Bands (Config)'!$B$5</f>
        <v>25</v>
      </c>
      <c r="M98" s="23">
        <f>IF($K98=INDEX('Indicator Master'!$N$4:$N$46,MATCH($A98,'Indicator Master'!$A$4:$A$46,0)),1,0)</f>
        <v>0</v>
      </c>
      <c r="N98" s="25"/>
      <c r="O98" s="19" t="s">
        <v>629</v>
      </c>
      <c r="P98" s="19" t="s">
        <v>630</v>
      </c>
      <c r="Q98" s="19" t="s">
        <v>411</v>
      </c>
      <c r="R98" s="26" t="str">
        <f t="shared" si="2"/>
        <v>EWS-024|10</v>
      </c>
    </row>
    <row r="99" spans="1:18" ht="21.75" customHeight="1" x14ac:dyDescent="0.35">
      <c r="A99" s="23" t="s">
        <v>194</v>
      </c>
      <c r="B99" s="19" t="s">
        <v>195</v>
      </c>
      <c r="C99" s="23" t="s">
        <v>30</v>
      </c>
      <c r="D99" s="19" t="s">
        <v>197</v>
      </c>
      <c r="E99" s="23">
        <v>3</v>
      </c>
      <c r="F99" s="19" t="s">
        <v>631</v>
      </c>
      <c r="G99" s="19" t="s">
        <v>373</v>
      </c>
      <c r="H99" s="23">
        <v>10</v>
      </c>
      <c r="I99" s="23">
        <v>25</v>
      </c>
      <c r="J99" s="23" t="s">
        <v>448</v>
      </c>
      <c r="K99" s="23">
        <v>25</v>
      </c>
      <c r="L99" s="24">
        <f>$K99/INDEX('Indicator Master'!$N$4:$N$46,MATCH($A99,'Indicator Master'!$A$4:$A$46,0))*'Risk Bands (Config)'!$B$5</f>
        <v>62.5</v>
      </c>
      <c r="M99" s="23">
        <f>IF($K99=INDEX('Indicator Master'!$N$4:$N$46,MATCH($A99,'Indicator Master'!$A$4:$A$46,0)),1,0)</f>
        <v>0</v>
      </c>
      <c r="N99" s="25"/>
      <c r="O99" s="19" t="s">
        <v>632</v>
      </c>
      <c r="P99" s="19" t="s">
        <v>633</v>
      </c>
      <c r="Q99" s="19" t="s">
        <v>440</v>
      </c>
      <c r="R99" s="26" t="str">
        <f t="shared" si="2"/>
        <v>EWS-024|25</v>
      </c>
    </row>
    <row r="100" spans="1:18" ht="21.75" customHeight="1" x14ac:dyDescent="0.35">
      <c r="A100" s="23" t="s">
        <v>194</v>
      </c>
      <c r="B100" s="19" t="s">
        <v>195</v>
      </c>
      <c r="C100" s="23" t="s">
        <v>30</v>
      </c>
      <c r="D100" s="19" t="s">
        <v>197</v>
      </c>
      <c r="E100" s="23">
        <v>4</v>
      </c>
      <c r="F100" s="19" t="s">
        <v>634</v>
      </c>
      <c r="G100" s="19" t="s">
        <v>367</v>
      </c>
      <c r="H100" s="23">
        <v>25</v>
      </c>
      <c r="I100" s="23"/>
      <c r="J100" s="23" t="s">
        <v>416</v>
      </c>
      <c r="K100" s="23">
        <v>40</v>
      </c>
      <c r="L100" s="24">
        <f>$K100/INDEX('Indicator Master'!$N$4:$N$46,MATCH($A100,'Indicator Master'!$A$4:$A$46,0))*'Risk Bands (Config)'!$B$5</f>
        <v>100</v>
      </c>
      <c r="M100" s="23">
        <f>IF($K100=INDEX('Indicator Master'!$N$4:$N$46,MATCH($A100,'Indicator Master'!$A$4:$A$46,0)),1,0)</f>
        <v>1</v>
      </c>
      <c r="N100" s="25"/>
      <c r="O100" s="19" t="s">
        <v>635</v>
      </c>
      <c r="P100" s="19" t="s">
        <v>636</v>
      </c>
      <c r="Q100" s="19" t="s">
        <v>386</v>
      </c>
      <c r="R100" s="26" t="str">
        <f t="shared" si="2"/>
        <v>EWS-024|40</v>
      </c>
    </row>
    <row r="101" spans="1:18" ht="32.25" customHeight="1" x14ac:dyDescent="0.35">
      <c r="A101" s="23" t="s">
        <v>200</v>
      </c>
      <c r="B101" s="19" t="s">
        <v>201</v>
      </c>
      <c r="C101" s="23" t="s">
        <v>30</v>
      </c>
      <c r="D101" s="19" t="s">
        <v>204</v>
      </c>
      <c r="E101" s="23">
        <v>1</v>
      </c>
      <c r="F101" s="19" t="s">
        <v>637</v>
      </c>
      <c r="G101" s="19" t="s">
        <v>432</v>
      </c>
      <c r="H101" s="23"/>
      <c r="I101" s="23"/>
      <c r="J101" s="23" t="s">
        <v>403</v>
      </c>
      <c r="K101" s="23">
        <v>0</v>
      </c>
      <c r="L101" s="24">
        <f>$K101/INDEX('Indicator Master'!$N$4:$N$46,MATCH($A101,'Indicator Master'!$A$4:$A$46,0))*'Risk Bands (Config)'!$B$5</f>
        <v>0</v>
      </c>
      <c r="M101" s="23">
        <f>IF($K101=INDEX('Indicator Master'!$N$4:$N$46,MATCH($A101,'Indicator Master'!$A$4:$A$46,0)),1,0)</f>
        <v>0</v>
      </c>
      <c r="N101" s="25"/>
      <c r="O101" s="19" t="s">
        <v>638</v>
      </c>
      <c r="P101" s="19" t="s">
        <v>370</v>
      </c>
      <c r="Q101" s="19" t="s">
        <v>371</v>
      </c>
      <c r="R101" s="26" t="str">
        <f t="shared" ref="R101:R132" si="3">$A101&amp;"|"&amp;$K101</f>
        <v>EWS-025|0</v>
      </c>
    </row>
    <row r="102" spans="1:18" ht="32.25" customHeight="1" x14ac:dyDescent="0.35">
      <c r="A102" s="23" t="s">
        <v>200</v>
      </c>
      <c r="B102" s="19" t="s">
        <v>201</v>
      </c>
      <c r="C102" s="23" t="s">
        <v>30</v>
      </c>
      <c r="D102" s="19" t="s">
        <v>204</v>
      </c>
      <c r="E102" s="23">
        <v>2</v>
      </c>
      <c r="F102" s="19" t="s">
        <v>639</v>
      </c>
      <c r="G102" s="19" t="s">
        <v>432</v>
      </c>
      <c r="H102" s="23"/>
      <c r="I102" s="23"/>
      <c r="J102" s="23" t="s">
        <v>403</v>
      </c>
      <c r="K102" s="23">
        <v>20</v>
      </c>
      <c r="L102" s="24">
        <f>$K102/INDEX('Indicator Master'!$N$4:$N$46,MATCH($A102,'Indicator Master'!$A$4:$A$46,0))*'Risk Bands (Config)'!$B$5</f>
        <v>50</v>
      </c>
      <c r="M102" s="23">
        <f>IF($K102=INDEX('Indicator Master'!$N$4:$N$46,MATCH($A102,'Indicator Master'!$A$4:$A$46,0)),1,0)</f>
        <v>0</v>
      </c>
      <c r="N102" s="25"/>
      <c r="O102" s="19" t="s">
        <v>640</v>
      </c>
      <c r="P102" s="19" t="s">
        <v>641</v>
      </c>
      <c r="Q102" s="19" t="s">
        <v>377</v>
      </c>
      <c r="R102" s="26" t="str">
        <f t="shared" si="3"/>
        <v>EWS-025|20</v>
      </c>
    </row>
    <row r="103" spans="1:18" ht="32.25" customHeight="1" x14ac:dyDescent="0.35">
      <c r="A103" s="23" t="s">
        <v>200</v>
      </c>
      <c r="B103" s="19" t="s">
        <v>201</v>
      </c>
      <c r="C103" s="23" t="s">
        <v>30</v>
      </c>
      <c r="D103" s="19" t="s">
        <v>204</v>
      </c>
      <c r="E103" s="23">
        <v>3</v>
      </c>
      <c r="F103" s="19" t="s">
        <v>642</v>
      </c>
      <c r="G103" s="19" t="s">
        <v>432</v>
      </c>
      <c r="H103" s="23"/>
      <c r="I103" s="23"/>
      <c r="J103" s="23" t="s">
        <v>403</v>
      </c>
      <c r="K103" s="23">
        <v>40</v>
      </c>
      <c r="L103" s="24">
        <f>$K103/INDEX('Indicator Master'!$N$4:$N$46,MATCH($A103,'Indicator Master'!$A$4:$A$46,0))*'Risk Bands (Config)'!$B$5</f>
        <v>100</v>
      </c>
      <c r="M103" s="23">
        <f>IF($K103=INDEX('Indicator Master'!$N$4:$N$46,MATCH($A103,'Indicator Master'!$A$4:$A$46,0)),1,0)</f>
        <v>1</v>
      </c>
      <c r="N103" s="25"/>
      <c r="O103" s="19" t="s">
        <v>643</v>
      </c>
      <c r="P103" s="19" t="s">
        <v>644</v>
      </c>
      <c r="Q103" s="19" t="s">
        <v>386</v>
      </c>
      <c r="R103" s="26" t="str">
        <f t="shared" si="3"/>
        <v>EWS-025|40</v>
      </c>
    </row>
    <row r="104" spans="1:18" ht="21.75" customHeight="1" x14ac:dyDescent="0.35">
      <c r="A104" s="25" t="s">
        <v>207</v>
      </c>
      <c r="B104" s="19" t="s">
        <v>208</v>
      </c>
      <c r="C104" s="23" t="s">
        <v>30</v>
      </c>
      <c r="D104" s="19" t="s">
        <v>211</v>
      </c>
      <c r="E104" s="23">
        <v>1</v>
      </c>
      <c r="F104" s="19" t="s">
        <v>645</v>
      </c>
      <c r="G104" s="19" t="s">
        <v>392</v>
      </c>
      <c r="H104" s="23">
        <v>0</v>
      </c>
      <c r="I104" s="23">
        <v>0</v>
      </c>
      <c r="J104" s="23" t="s">
        <v>393</v>
      </c>
      <c r="K104" s="23">
        <v>0</v>
      </c>
      <c r="L104" s="24">
        <f>$K104/INDEX('Indicator Master'!$N$4:$N$46,MATCH($A104,'Indicator Master'!$A$4:$A$46,0))*'Risk Bands (Config)'!$B$5</f>
        <v>0</v>
      </c>
      <c r="M104" s="23">
        <f>IF($K104=INDEX('Indicator Master'!$N$4:$N$46,MATCH($A104,'Indicator Master'!$A$4:$A$46,0)),1,0)</f>
        <v>0</v>
      </c>
      <c r="N104" s="25"/>
      <c r="O104" s="19" t="s">
        <v>646</v>
      </c>
      <c r="P104" s="19" t="s">
        <v>370</v>
      </c>
      <c r="Q104" s="19" t="s">
        <v>371</v>
      </c>
      <c r="R104" s="26" t="str">
        <f t="shared" si="3"/>
        <v>EWS-026|0</v>
      </c>
    </row>
    <row r="105" spans="1:18" ht="21.75" customHeight="1" x14ac:dyDescent="0.35">
      <c r="A105" s="25" t="s">
        <v>207</v>
      </c>
      <c r="B105" s="19" t="s">
        <v>208</v>
      </c>
      <c r="C105" s="23" t="s">
        <v>30</v>
      </c>
      <c r="D105" s="19" t="s">
        <v>211</v>
      </c>
      <c r="E105" s="23">
        <v>2</v>
      </c>
      <c r="F105" s="19" t="s">
        <v>647</v>
      </c>
      <c r="G105" s="19" t="s">
        <v>392</v>
      </c>
      <c r="H105" s="23">
        <v>1</v>
      </c>
      <c r="I105" s="23">
        <v>1</v>
      </c>
      <c r="J105" s="23" t="s">
        <v>393</v>
      </c>
      <c r="K105" s="23">
        <v>10</v>
      </c>
      <c r="L105" s="24">
        <f>$K105/INDEX('Indicator Master'!$N$4:$N$46,MATCH($A105,'Indicator Master'!$A$4:$A$46,0))*'Risk Bands (Config)'!$B$5</f>
        <v>28.571428571428569</v>
      </c>
      <c r="M105" s="23">
        <f>IF($K105=INDEX('Indicator Master'!$N$4:$N$46,MATCH($A105,'Indicator Master'!$A$4:$A$46,0)),1,0)</f>
        <v>0</v>
      </c>
      <c r="N105" s="25"/>
      <c r="O105" s="19" t="s">
        <v>648</v>
      </c>
      <c r="P105" s="19" t="s">
        <v>649</v>
      </c>
      <c r="Q105" s="19" t="s">
        <v>411</v>
      </c>
      <c r="R105" s="26" t="str">
        <f t="shared" si="3"/>
        <v>EWS-026|10</v>
      </c>
    </row>
    <row r="106" spans="1:18" ht="32.25" customHeight="1" x14ac:dyDescent="0.35">
      <c r="A106" s="25" t="s">
        <v>207</v>
      </c>
      <c r="B106" s="19" t="s">
        <v>208</v>
      </c>
      <c r="C106" s="23" t="s">
        <v>30</v>
      </c>
      <c r="D106" s="19" t="s">
        <v>211</v>
      </c>
      <c r="E106" s="23">
        <v>3</v>
      </c>
      <c r="F106" s="19" t="s">
        <v>650</v>
      </c>
      <c r="G106" s="19" t="s">
        <v>392</v>
      </c>
      <c r="H106" s="23">
        <v>2</v>
      </c>
      <c r="I106" s="23">
        <v>2</v>
      </c>
      <c r="J106" s="23" t="s">
        <v>393</v>
      </c>
      <c r="K106" s="23">
        <v>20</v>
      </c>
      <c r="L106" s="24">
        <f>$K106/INDEX('Indicator Master'!$N$4:$N$46,MATCH($A106,'Indicator Master'!$A$4:$A$46,0))*'Risk Bands (Config)'!$B$5</f>
        <v>57.142857142857139</v>
      </c>
      <c r="M106" s="23">
        <f>IF($K106=INDEX('Indicator Master'!$N$4:$N$46,MATCH($A106,'Indicator Master'!$A$4:$A$46,0)),1,0)</f>
        <v>0</v>
      </c>
      <c r="N106" s="25"/>
      <c r="O106" s="19" t="s">
        <v>651</v>
      </c>
      <c r="P106" s="19" t="s">
        <v>652</v>
      </c>
      <c r="Q106" s="19" t="s">
        <v>377</v>
      </c>
      <c r="R106" s="26" t="str">
        <f t="shared" si="3"/>
        <v>EWS-026|20</v>
      </c>
    </row>
    <row r="107" spans="1:18" ht="53.25" customHeight="1" x14ac:dyDescent="0.35">
      <c r="A107" s="25" t="s">
        <v>207</v>
      </c>
      <c r="B107" s="19" t="s">
        <v>208</v>
      </c>
      <c r="C107" s="23" t="s">
        <v>30</v>
      </c>
      <c r="D107" s="19" t="s">
        <v>211</v>
      </c>
      <c r="E107" s="23">
        <v>4</v>
      </c>
      <c r="F107" s="19" t="s">
        <v>653</v>
      </c>
      <c r="G107" s="19" t="s">
        <v>397</v>
      </c>
      <c r="H107" s="23">
        <v>3</v>
      </c>
      <c r="I107" s="23"/>
      <c r="J107" s="23" t="s">
        <v>398</v>
      </c>
      <c r="K107" s="23">
        <v>35</v>
      </c>
      <c r="L107" s="24">
        <f>$K107/INDEX('Indicator Master'!$N$4:$N$46,MATCH($A107,'Indicator Master'!$A$4:$A$46,0))*'Risk Bands (Config)'!$B$5</f>
        <v>100</v>
      </c>
      <c r="M107" s="23">
        <f>IF($K107=INDEX('Indicator Master'!$N$4:$N$46,MATCH($A107,'Indicator Master'!$A$4:$A$46,0)),1,0)</f>
        <v>1</v>
      </c>
      <c r="N107" s="25" t="s">
        <v>417</v>
      </c>
      <c r="O107" s="19" t="s">
        <v>654</v>
      </c>
      <c r="P107" s="19" t="s">
        <v>655</v>
      </c>
      <c r="Q107" s="19" t="s">
        <v>534</v>
      </c>
      <c r="R107" s="26" t="str">
        <f t="shared" si="3"/>
        <v>EWS-026|35</v>
      </c>
    </row>
    <row r="108" spans="1:18" ht="21.75" customHeight="1" x14ac:dyDescent="0.35">
      <c r="A108" s="23" t="s">
        <v>214</v>
      </c>
      <c r="B108" s="19" t="s">
        <v>215</v>
      </c>
      <c r="C108" s="23" t="s">
        <v>30</v>
      </c>
      <c r="D108" s="19" t="s">
        <v>217</v>
      </c>
      <c r="E108" s="23">
        <v>1</v>
      </c>
      <c r="F108" s="19" t="s">
        <v>656</v>
      </c>
      <c r="G108" s="19" t="s">
        <v>432</v>
      </c>
      <c r="H108" s="23"/>
      <c r="I108" s="23"/>
      <c r="J108" s="23" t="s">
        <v>403</v>
      </c>
      <c r="K108" s="23">
        <v>0</v>
      </c>
      <c r="L108" s="24">
        <f>$K108/INDEX('Indicator Master'!$N$4:$N$46,MATCH($A108,'Indicator Master'!$A$4:$A$46,0))*'Risk Bands (Config)'!$B$5</f>
        <v>0</v>
      </c>
      <c r="M108" s="23">
        <f>IF($K108=INDEX('Indicator Master'!$N$4:$N$46,MATCH($A108,'Indicator Master'!$A$4:$A$46,0)),1,0)</f>
        <v>0</v>
      </c>
      <c r="N108" s="25"/>
      <c r="O108" s="19" t="s">
        <v>657</v>
      </c>
      <c r="P108" s="19" t="s">
        <v>370</v>
      </c>
      <c r="Q108" s="19" t="s">
        <v>371</v>
      </c>
      <c r="R108" s="26" t="str">
        <f t="shared" si="3"/>
        <v>EWS-027|0</v>
      </c>
    </row>
    <row r="109" spans="1:18" ht="21.75" customHeight="1" x14ac:dyDescent="0.35">
      <c r="A109" s="23" t="s">
        <v>214</v>
      </c>
      <c r="B109" s="19" t="s">
        <v>215</v>
      </c>
      <c r="C109" s="23" t="s">
        <v>30</v>
      </c>
      <c r="D109" s="19" t="s">
        <v>217</v>
      </c>
      <c r="E109" s="23">
        <v>2</v>
      </c>
      <c r="F109" s="19" t="s">
        <v>658</v>
      </c>
      <c r="G109" s="19" t="s">
        <v>432</v>
      </c>
      <c r="H109" s="23"/>
      <c r="I109" s="23"/>
      <c r="J109" s="23" t="s">
        <v>403</v>
      </c>
      <c r="K109" s="23">
        <v>15</v>
      </c>
      <c r="L109" s="24">
        <f>$K109/INDEX('Indicator Master'!$N$4:$N$46,MATCH($A109,'Indicator Master'!$A$4:$A$46,0))*'Risk Bands (Config)'!$B$5</f>
        <v>30</v>
      </c>
      <c r="M109" s="23">
        <f>IF($K109=INDEX('Indicator Master'!$N$4:$N$46,MATCH($A109,'Indicator Master'!$A$4:$A$46,0)),1,0)</f>
        <v>0</v>
      </c>
      <c r="N109" s="25"/>
      <c r="O109" s="19" t="s">
        <v>659</v>
      </c>
      <c r="P109" s="19" t="s">
        <v>660</v>
      </c>
      <c r="Q109" s="19" t="s">
        <v>411</v>
      </c>
      <c r="R109" s="26" t="str">
        <f t="shared" si="3"/>
        <v>EWS-027|15</v>
      </c>
    </row>
    <row r="110" spans="1:18" ht="21.75" customHeight="1" x14ac:dyDescent="0.35">
      <c r="A110" s="23" t="s">
        <v>214</v>
      </c>
      <c r="B110" s="19" t="s">
        <v>215</v>
      </c>
      <c r="C110" s="23" t="s">
        <v>30</v>
      </c>
      <c r="D110" s="19" t="s">
        <v>217</v>
      </c>
      <c r="E110" s="23">
        <v>3</v>
      </c>
      <c r="F110" s="19" t="s">
        <v>661</v>
      </c>
      <c r="G110" s="19" t="s">
        <v>432</v>
      </c>
      <c r="H110" s="23"/>
      <c r="I110" s="23"/>
      <c r="J110" s="23" t="s">
        <v>403</v>
      </c>
      <c r="K110" s="23">
        <v>30</v>
      </c>
      <c r="L110" s="24">
        <f>$K110/INDEX('Indicator Master'!$N$4:$N$46,MATCH($A110,'Indicator Master'!$A$4:$A$46,0))*'Risk Bands (Config)'!$B$5</f>
        <v>60</v>
      </c>
      <c r="M110" s="23">
        <f>IF($K110=INDEX('Indicator Master'!$N$4:$N$46,MATCH($A110,'Indicator Master'!$A$4:$A$46,0)),1,0)</f>
        <v>0</v>
      </c>
      <c r="N110" s="25"/>
      <c r="O110" s="19" t="s">
        <v>662</v>
      </c>
      <c r="P110" s="19" t="s">
        <v>663</v>
      </c>
      <c r="Q110" s="19" t="s">
        <v>377</v>
      </c>
      <c r="R110" s="26" t="str">
        <f t="shared" si="3"/>
        <v>EWS-027|30</v>
      </c>
    </row>
    <row r="111" spans="1:18" ht="21.75" customHeight="1" x14ac:dyDescent="0.35">
      <c r="A111" s="23" t="s">
        <v>214</v>
      </c>
      <c r="B111" s="19" t="s">
        <v>215</v>
      </c>
      <c r="C111" s="23" t="s">
        <v>30</v>
      </c>
      <c r="D111" s="19" t="s">
        <v>217</v>
      </c>
      <c r="E111" s="23">
        <v>4</v>
      </c>
      <c r="F111" s="19" t="s">
        <v>664</v>
      </c>
      <c r="G111" s="19" t="s">
        <v>432</v>
      </c>
      <c r="H111" s="23"/>
      <c r="I111" s="23"/>
      <c r="J111" s="23" t="s">
        <v>403</v>
      </c>
      <c r="K111" s="23">
        <v>50</v>
      </c>
      <c r="L111" s="24">
        <f>$K111/INDEX('Indicator Master'!$N$4:$N$46,MATCH($A111,'Indicator Master'!$A$4:$A$46,0))*'Risk Bands (Config)'!$B$5</f>
        <v>100</v>
      </c>
      <c r="M111" s="23">
        <f>IF($K111=INDEX('Indicator Master'!$N$4:$N$46,MATCH($A111,'Indicator Master'!$A$4:$A$46,0)),1,0)</f>
        <v>1</v>
      </c>
      <c r="N111" s="25"/>
      <c r="O111" s="19" t="s">
        <v>665</v>
      </c>
      <c r="P111" s="19" t="s">
        <v>666</v>
      </c>
      <c r="Q111" s="19" t="s">
        <v>667</v>
      </c>
      <c r="R111" s="26" t="str">
        <f t="shared" si="3"/>
        <v>EWS-027|50</v>
      </c>
    </row>
    <row r="112" spans="1:18" ht="32.25" customHeight="1" x14ac:dyDescent="0.35">
      <c r="A112" s="23" t="s">
        <v>222</v>
      </c>
      <c r="B112" s="19" t="s">
        <v>223</v>
      </c>
      <c r="C112" s="23" t="s">
        <v>30</v>
      </c>
      <c r="D112" s="19" t="s">
        <v>226</v>
      </c>
      <c r="E112" s="23">
        <v>1</v>
      </c>
      <c r="F112" s="19" t="s">
        <v>668</v>
      </c>
      <c r="G112" s="19" t="s">
        <v>669</v>
      </c>
      <c r="H112" s="23"/>
      <c r="I112" s="23">
        <v>10</v>
      </c>
      <c r="J112" s="23" t="s">
        <v>670</v>
      </c>
      <c r="K112" s="23">
        <v>0</v>
      </c>
      <c r="L112" s="24">
        <f>$K112/INDEX('Indicator Master'!$N$4:$N$46,MATCH($A112,'Indicator Master'!$A$4:$A$46,0))*'Risk Bands (Config)'!$B$5</f>
        <v>0</v>
      </c>
      <c r="M112" s="23">
        <f>IF($K112=INDEX('Indicator Master'!$N$4:$N$46,MATCH($A112,'Indicator Master'!$A$4:$A$46,0)),1,0)</f>
        <v>0</v>
      </c>
      <c r="N112" s="25"/>
      <c r="O112" s="19" t="s">
        <v>671</v>
      </c>
      <c r="P112" s="19" t="s">
        <v>370</v>
      </c>
      <c r="Q112" s="19" t="s">
        <v>371</v>
      </c>
      <c r="R112" s="26" t="str">
        <f t="shared" si="3"/>
        <v>EWS-028|0</v>
      </c>
    </row>
    <row r="113" spans="1:18" ht="32.25" customHeight="1" x14ac:dyDescent="0.35">
      <c r="A113" s="23" t="s">
        <v>222</v>
      </c>
      <c r="B113" s="19" t="s">
        <v>223</v>
      </c>
      <c r="C113" s="23" t="s">
        <v>30</v>
      </c>
      <c r="D113" s="19" t="s">
        <v>226</v>
      </c>
      <c r="E113" s="23">
        <v>2</v>
      </c>
      <c r="F113" s="19" t="s">
        <v>672</v>
      </c>
      <c r="G113" s="19" t="s">
        <v>669</v>
      </c>
      <c r="H113" s="23">
        <v>10</v>
      </c>
      <c r="I113" s="23">
        <v>25</v>
      </c>
      <c r="J113" s="23" t="s">
        <v>673</v>
      </c>
      <c r="K113" s="23">
        <v>15</v>
      </c>
      <c r="L113" s="24">
        <f>$K113/INDEX('Indicator Master'!$N$4:$N$46,MATCH($A113,'Indicator Master'!$A$4:$A$46,0))*'Risk Bands (Config)'!$B$5</f>
        <v>37.5</v>
      </c>
      <c r="M113" s="23">
        <f>IF($K113=INDEX('Indicator Master'!$N$4:$N$46,MATCH($A113,'Indicator Master'!$A$4:$A$46,0)),1,0)</f>
        <v>0</v>
      </c>
      <c r="N113" s="25"/>
      <c r="O113" s="19" t="s">
        <v>674</v>
      </c>
      <c r="P113" s="19" t="s">
        <v>675</v>
      </c>
      <c r="Q113" s="19" t="s">
        <v>377</v>
      </c>
      <c r="R113" s="26" t="str">
        <f t="shared" si="3"/>
        <v>EWS-028|15</v>
      </c>
    </row>
    <row r="114" spans="1:18" ht="32.25" customHeight="1" x14ac:dyDescent="0.35">
      <c r="A114" s="23" t="s">
        <v>222</v>
      </c>
      <c r="B114" s="19" t="s">
        <v>223</v>
      </c>
      <c r="C114" s="23" t="s">
        <v>30</v>
      </c>
      <c r="D114" s="19" t="s">
        <v>226</v>
      </c>
      <c r="E114" s="23">
        <v>3</v>
      </c>
      <c r="F114" s="19" t="s">
        <v>676</v>
      </c>
      <c r="G114" s="19" t="s">
        <v>669</v>
      </c>
      <c r="H114" s="23">
        <v>25</v>
      </c>
      <c r="I114" s="23">
        <v>50</v>
      </c>
      <c r="J114" s="23" t="s">
        <v>677</v>
      </c>
      <c r="K114" s="23">
        <v>30</v>
      </c>
      <c r="L114" s="24">
        <f>$K114/INDEX('Indicator Master'!$N$4:$N$46,MATCH($A114,'Indicator Master'!$A$4:$A$46,0))*'Risk Bands (Config)'!$B$5</f>
        <v>75</v>
      </c>
      <c r="M114" s="23">
        <f>IF($K114=INDEX('Indicator Master'!$N$4:$N$46,MATCH($A114,'Indicator Master'!$A$4:$A$46,0)),1,0)</f>
        <v>0</v>
      </c>
      <c r="N114" s="25"/>
      <c r="O114" s="19" t="s">
        <v>678</v>
      </c>
      <c r="P114" s="19" t="s">
        <v>679</v>
      </c>
      <c r="Q114" s="19" t="s">
        <v>680</v>
      </c>
      <c r="R114" s="26" t="str">
        <f t="shared" si="3"/>
        <v>EWS-028|30</v>
      </c>
    </row>
    <row r="115" spans="1:18" ht="32.25" customHeight="1" x14ac:dyDescent="0.35">
      <c r="A115" s="23" t="s">
        <v>222</v>
      </c>
      <c r="B115" s="19" t="s">
        <v>223</v>
      </c>
      <c r="C115" s="23" t="s">
        <v>30</v>
      </c>
      <c r="D115" s="19" t="s">
        <v>226</v>
      </c>
      <c r="E115" s="23">
        <v>4</v>
      </c>
      <c r="F115" s="19" t="s">
        <v>681</v>
      </c>
      <c r="G115" s="19" t="s">
        <v>669</v>
      </c>
      <c r="H115" s="23">
        <v>50</v>
      </c>
      <c r="I115" s="23"/>
      <c r="J115" s="23" t="s">
        <v>682</v>
      </c>
      <c r="K115" s="23">
        <v>40</v>
      </c>
      <c r="L115" s="24">
        <f>$K115/INDEX('Indicator Master'!$N$4:$N$46,MATCH($A115,'Indicator Master'!$A$4:$A$46,0))*'Risk Bands (Config)'!$B$5</f>
        <v>100</v>
      </c>
      <c r="M115" s="23">
        <f>IF($K115=INDEX('Indicator Master'!$N$4:$N$46,MATCH($A115,'Indicator Master'!$A$4:$A$46,0)),1,0)</f>
        <v>1</v>
      </c>
      <c r="N115" s="25"/>
      <c r="O115" s="19" t="s">
        <v>683</v>
      </c>
      <c r="P115" s="19" t="s">
        <v>684</v>
      </c>
      <c r="Q115" s="19" t="s">
        <v>667</v>
      </c>
      <c r="R115" s="26" t="str">
        <f t="shared" si="3"/>
        <v>EWS-028|40</v>
      </c>
    </row>
    <row r="116" spans="1:18" ht="21.75" customHeight="1" x14ac:dyDescent="0.35">
      <c r="A116" s="23" t="s">
        <v>230</v>
      </c>
      <c r="B116" s="19" t="s">
        <v>231</v>
      </c>
      <c r="C116" s="23" t="s">
        <v>30</v>
      </c>
      <c r="D116" s="19" t="s">
        <v>234</v>
      </c>
      <c r="E116" s="23">
        <v>1</v>
      </c>
      <c r="F116" s="19" t="s">
        <v>685</v>
      </c>
      <c r="G116" s="19" t="s">
        <v>432</v>
      </c>
      <c r="H116" s="23"/>
      <c r="I116" s="23"/>
      <c r="J116" s="23" t="s">
        <v>403</v>
      </c>
      <c r="K116" s="23">
        <v>0</v>
      </c>
      <c r="L116" s="24">
        <f>$K116/INDEX('Indicator Master'!$N$4:$N$46,MATCH($A116,'Indicator Master'!$A$4:$A$46,0))*'Risk Bands (Config)'!$B$5</f>
        <v>0</v>
      </c>
      <c r="M116" s="23">
        <f>IF($K116=INDEX('Indicator Master'!$N$4:$N$46,MATCH($A116,'Indicator Master'!$A$4:$A$46,0)),1,0)</f>
        <v>0</v>
      </c>
      <c r="N116" s="25"/>
      <c r="O116" s="19" t="s">
        <v>686</v>
      </c>
      <c r="P116" s="19" t="s">
        <v>370</v>
      </c>
      <c r="Q116" s="19" t="s">
        <v>371</v>
      </c>
      <c r="R116" s="26" t="str">
        <f t="shared" si="3"/>
        <v>EWS-029|0</v>
      </c>
    </row>
    <row r="117" spans="1:18" ht="21.75" customHeight="1" x14ac:dyDescent="0.35">
      <c r="A117" s="23" t="s">
        <v>230</v>
      </c>
      <c r="B117" s="19" t="s">
        <v>231</v>
      </c>
      <c r="C117" s="23" t="s">
        <v>30</v>
      </c>
      <c r="D117" s="19" t="s">
        <v>234</v>
      </c>
      <c r="E117" s="23">
        <v>2</v>
      </c>
      <c r="F117" s="19" t="s">
        <v>687</v>
      </c>
      <c r="G117" s="19" t="s">
        <v>432</v>
      </c>
      <c r="H117" s="23"/>
      <c r="I117" s="23"/>
      <c r="J117" s="23" t="s">
        <v>403</v>
      </c>
      <c r="K117" s="23">
        <v>10</v>
      </c>
      <c r="L117" s="24">
        <f>$K117/INDEX('Indicator Master'!$N$4:$N$46,MATCH($A117,'Indicator Master'!$A$4:$A$46,0))*'Risk Bands (Config)'!$B$5</f>
        <v>25</v>
      </c>
      <c r="M117" s="23">
        <f>IF($K117=INDEX('Indicator Master'!$N$4:$N$46,MATCH($A117,'Indicator Master'!$A$4:$A$46,0)),1,0)</f>
        <v>0</v>
      </c>
      <c r="N117" s="25"/>
      <c r="O117" s="19" t="s">
        <v>688</v>
      </c>
      <c r="P117" s="19" t="s">
        <v>689</v>
      </c>
      <c r="Q117" s="19" t="s">
        <v>411</v>
      </c>
      <c r="R117" s="26" t="str">
        <f t="shared" si="3"/>
        <v>EWS-029|10</v>
      </c>
    </row>
    <row r="118" spans="1:18" ht="21.75" customHeight="1" x14ac:dyDescent="0.35">
      <c r="A118" s="23" t="s">
        <v>230</v>
      </c>
      <c r="B118" s="19" t="s">
        <v>231</v>
      </c>
      <c r="C118" s="23" t="s">
        <v>30</v>
      </c>
      <c r="D118" s="19" t="s">
        <v>234</v>
      </c>
      <c r="E118" s="23">
        <v>3</v>
      </c>
      <c r="F118" s="19" t="s">
        <v>690</v>
      </c>
      <c r="G118" s="19" t="s">
        <v>432</v>
      </c>
      <c r="H118" s="23"/>
      <c r="I118" s="23"/>
      <c r="J118" s="23" t="s">
        <v>403</v>
      </c>
      <c r="K118" s="23">
        <v>25</v>
      </c>
      <c r="L118" s="24">
        <f>$K118/INDEX('Indicator Master'!$N$4:$N$46,MATCH($A118,'Indicator Master'!$A$4:$A$46,0))*'Risk Bands (Config)'!$B$5</f>
        <v>62.5</v>
      </c>
      <c r="M118" s="23">
        <f>IF($K118=INDEX('Indicator Master'!$N$4:$N$46,MATCH($A118,'Indicator Master'!$A$4:$A$46,0)),1,0)</f>
        <v>0</v>
      </c>
      <c r="N118" s="25"/>
      <c r="O118" s="19" t="s">
        <v>691</v>
      </c>
      <c r="P118" s="19" t="s">
        <v>692</v>
      </c>
      <c r="Q118" s="19" t="s">
        <v>381</v>
      </c>
      <c r="R118" s="26" t="str">
        <f t="shared" si="3"/>
        <v>EWS-029|25</v>
      </c>
    </row>
    <row r="119" spans="1:18" ht="21.75" customHeight="1" x14ac:dyDescent="0.35">
      <c r="A119" s="23" t="s">
        <v>230</v>
      </c>
      <c r="B119" s="19" t="s">
        <v>231</v>
      </c>
      <c r="C119" s="23" t="s">
        <v>30</v>
      </c>
      <c r="D119" s="19" t="s">
        <v>234</v>
      </c>
      <c r="E119" s="23">
        <v>4</v>
      </c>
      <c r="F119" s="19" t="s">
        <v>693</v>
      </c>
      <c r="G119" s="19" t="s">
        <v>432</v>
      </c>
      <c r="H119" s="23"/>
      <c r="I119" s="23"/>
      <c r="J119" s="23" t="s">
        <v>403</v>
      </c>
      <c r="K119" s="23">
        <v>40</v>
      </c>
      <c r="L119" s="24">
        <f>$K119/INDEX('Indicator Master'!$N$4:$N$46,MATCH($A119,'Indicator Master'!$A$4:$A$46,0))*'Risk Bands (Config)'!$B$5</f>
        <v>100</v>
      </c>
      <c r="M119" s="23">
        <f>IF($K119=INDEX('Indicator Master'!$N$4:$N$46,MATCH($A119,'Indicator Master'!$A$4:$A$46,0)),1,0)</f>
        <v>1</v>
      </c>
      <c r="N119" s="25"/>
      <c r="O119" s="19" t="s">
        <v>694</v>
      </c>
      <c r="P119" s="19" t="s">
        <v>695</v>
      </c>
      <c r="Q119" s="19" t="s">
        <v>386</v>
      </c>
      <c r="R119" s="26" t="str">
        <f t="shared" si="3"/>
        <v>EWS-029|40</v>
      </c>
    </row>
    <row r="120" spans="1:18" ht="21.75" customHeight="1" x14ac:dyDescent="0.35">
      <c r="A120" s="23" t="s">
        <v>237</v>
      </c>
      <c r="B120" s="19" t="s">
        <v>238</v>
      </c>
      <c r="C120" s="23" t="s">
        <v>30</v>
      </c>
      <c r="D120" s="19" t="s">
        <v>241</v>
      </c>
      <c r="E120" s="23">
        <v>1</v>
      </c>
      <c r="F120" s="19" t="s">
        <v>605</v>
      </c>
      <c r="G120" s="19" t="s">
        <v>367</v>
      </c>
      <c r="H120" s="23"/>
      <c r="I120" s="23">
        <v>0</v>
      </c>
      <c r="J120" s="23" t="s">
        <v>445</v>
      </c>
      <c r="K120" s="23">
        <v>0</v>
      </c>
      <c r="L120" s="24">
        <f>$K120/INDEX('Indicator Master'!$N$4:$N$46,MATCH($A120,'Indicator Master'!$A$4:$A$46,0))*'Risk Bands (Config)'!$B$5</f>
        <v>0</v>
      </c>
      <c r="M120" s="23">
        <f>IF($K120=INDEX('Indicator Master'!$N$4:$N$46,MATCH($A120,'Indicator Master'!$A$4:$A$46,0)),1,0)</f>
        <v>0</v>
      </c>
      <c r="N120" s="25"/>
      <c r="O120" s="19" t="s">
        <v>696</v>
      </c>
      <c r="P120" s="19" t="s">
        <v>370</v>
      </c>
      <c r="Q120" s="19" t="s">
        <v>371</v>
      </c>
      <c r="R120" s="26" t="str">
        <f t="shared" si="3"/>
        <v>EWS-030|0</v>
      </c>
    </row>
    <row r="121" spans="1:18" ht="21.75" customHeight="1" x14ac:dyDescent="0.35">
      <c r="A121" s="23" t="s">
        <v>237</v>
      </c>
      <c r="B121" s="19" t="s">
        <v>238</v>
      </c>
      <c r="C121" s="23" t="s">
        <v>30</v>
      </c>
      <c r="D121" s="19" t="s">
        <v>241</v>
      </c>
      <c r="E121" s="23">
        <v>2</v>
      </c>
      <c r="F121" s="19" t="s">
        <v>697</v>
      </c>
      <c r="G121" s="19" t="s">
        <v>373</v>
      </c>
      <c r="H121" s="23">
        <v>0</v>
      </c>
      <c r="I121" s="23">
        <v>5</v>
      </c>
      <c r="J121" s="23" t="s">
        <v>448</v>
      </c>
      <c r="K121" s="23">
        <v>10</v>
      </c>
      <c r="L121" s="24">
        <f>$K121/INDEX('Indicator Master'!$N$4:$N$46,MATCH($A121,'Indicator Master'!$A$4:$A$46,0))*'Risk Bands (Config)'!$B$5</f>
        <v>25</v>
      </c>
      <c r="M121" s="23">
        <f>IF($K121=INDEX('Indicator Master'!$N$4:$N$46,MATCH($A121,'Indicator Master'!$A$4:$A$46,0)),1,0)</f>
        <v>0</v>
      </c>
      <c r="N121" s="25"/>
      <c r="O121" s="19" t="s">
        <v>698</v>
      </c>
      <c r="P121" s="19" t="s">
        <v>699</v>
      </c>
      <c r="Q121" s="19" t="s">
        <v>411</v>
      </c>
      <c r="R121" s="26" t="str">
        <f t="shared" si="3"/>
        <v>EWS-030|10</v>
      </c>
    </row>
    <row r="122" spans="1:18" ht="21.75" customHeight="1" x14ac:dyDescent="0.35">
      <c r="A122" s="23" t="s">
        <v>237</v>
      </c>
      <c r="B122" s="19" t="s">
        <v>238</v>
      </c>
      <c r="C122" s="23" t="s">
        <v>30</v>
      </c>
      <c r="D122" s="19" t="s">
        <v>241</v>
      </c>
      <c r="E122" s="23">
        <v>3</v>
      </c>
      <c r="F122" s="19" t="s">
        <v>700</v>
      </c>
      <c r="G122" s="19" t="s">
        <v>373</v>
      </c>
      <c r="H122" s="23">
        <v>5</v>
      </c>
      <c r="I122" s="23">
        <v>10</v>
      </c>
      <c r="J122" s="23" t="s">
        <v>448</v>
      </c>
      <c r="K122" s="23">
        <v>25</v>
      </c>
      <c r="L122" s="24">
        <f>$K122/INDEX('Indicator Master'!$N$4:$N$46,MATCH($A122,'Indicator Master'!$A$4:$A$46,0))*'Risk Bands (Config)'!$B$5</f>
        <v>62.5</v>
      </c>
      <c r="M122" s="23">
        <f>IF($K122=INDEX('Indicator Master'!$N$4:$N$46,MATCH($A122,'Indicator Master'!$A$4:$A$46,0)),1,0)</f>
        <v>0</v>
      </c>
      <c r="N122" s="25"/>
      <c r="O122" s="19" t="s">
        <v>701</v>
      </c>
      <c r="P122" s="19" t="s">
        <v>702</v>
      </c>
      <c r="Q122" s="19" t="s">
        <v>381</v>
      </c>
      <c r="R122" s="26" t="str">
        <f t="shared" si="3"/>
        <v>EWS-030|25</v>
      </c>
    </row>
    <row r="123" spans="1:18" ht="21.75" customHeight="1" x14ac:dyDescent="0.35">
      <c r="A123" s="23" t="s">
        <v>237</v>
      </c>
      <c r="B123" s="19" t="s">
        <v>238</v>
      </c>
      <c r="C123" s="23" t="s">
        <v>30</v>
      </c>
      <c r="D123" s="19" t="s">
        <v>241</v>
      </c>
      <c r="E123" s="23">
        <v>4</v>
      </c>
      <c r="F123" s="19" t="s">
        <v>703</v>
      </c>
      <c r="G123" s="19" t="s">
        <v>367</v>
      </c>
      <c r="H123" s="23">
        <v>10</v>
      </c>
      <c r="I123" s="23"/>
      <c r="J123" s="23" t="s">
        <v>416</v>
      </c>
      <c r="K123" s="23">
        <v>40</v>
      </c>
      <c r="L123" s="24">
        <f>$K123/INDEX('Indicator Master'!$N$4:$N$46,MATCH($A123,'Indicator Master'!$A$4:$A$46,0))*'Risk Bands (Config)'!$B$5</f>
        <v>100</v>
      </c>
      <c r="M123" s="23">
        <f>IF($K123=INDEX('Indicator Master'!$N$4:$N$46,MATCH($A123,'Indicator Master'!$A$4:$A$46,0)),1,0)</f>
        <v>1</v>
      </c>
      <c r="N123" s="25"/>
      <c r="O123" s="19" t="s">
        <v>704</v>
      </c>
      <c r="P123" s="19" t="s">
        <v>705</v>
      </c>
      <c r="Q123" s="19" t="s">
        <v>386</v>
      </c>
      <c r="R123" s="26" t="str">
        <f t="shared" si="3"/>
        <v>EWS-030|40</v>
      </c>
    </row>
    <row r="124" spans="1:18" ht="32.25" customHeight="1" x14ac:dyDescent="0.35">
      <c r="A124" s="23" t="s">
        <v>246</v>
      </c>
      <c r="B124" s="19" t="s">
        <v>247</v>
      </c>
      <c r="C124" s="23" t="s">
        <v>30</v>
      </c>
      <c r="D124" s="19" t="s">
        <v>250</v>
      </c>
      <c r="E124" s="23">
        <v>1</v>
      </c>
      <c r="F124" s="19" t="s">
        <v>706</v>
      </c>
      <c r="G124" s="19" t="s">
        <v>432</v>
      </c>
      <c r="H124" s="23"/>
      <c r="I124" s="23"/>
      <c r="J124" s="23" t="s">
        <v>403</v>
      </c>
      <c r="K124" s="23">
        <v>0</v>
      </c>
      <c r="L124" s="24">
        <f>$K124/INDEX('Indicator Master'!$N$4:$N$46,MATCH($A124,'Indicator Master'!$A$4:$A$46,0))*'Risk Bands (Config)'!$B$5</f>
        <v>0</v>
      </c>
      <c r="M124" s="23">
        <f>IF($K124=INDEX('Indicator Master'!$N$4:$N$46,MATCH($A124,'Indicator Master'!$A$4:$A$46,0)),1,0)</f>
        <v>0</v>
      </c>
      <c r="N124" s="25"/>
      <c r="O124" s="19" t="s">
        <v>707</v>
      </c>
      <c r="P124" s="19" t="s">
        <v>370</v>
      </c>
      <c r="Q124" s="19" t="s">
        <v>371</v>
      </c>
      <c r="R124" s="26" t="str">
        <f t="shared" si="3"/>
        <v>EWS-031|0</v>
      </c>
    </row>
    <row r="125" spans="1:18" ht="32.25" customHeight="1" x14ac:dyDescent="0.35">
      <c r="A125" s="23" t="s">
        <v>246</v>
      </c>
      <c r="B125" s="19" t="s">
        <v>247</v>
      </c>
      <c r="C125" s="23" t="s">
        <v>30</v>
      </c>
      <c r="D125" s="19" t="s">
        <v>250</v>
      </c>
      <c r="E125" s="23">
        <v>2</v>
      </c>
      <c r="F125" s="19" t="s">
        <v>708</v>
      </c>
      <c r="G125" s="19" t="s">
        <v>432</v>
      </c>
      <c r="H125" s="23"/>
      <c r="I125" s="23"/>
      <c r="J125" s="23" t="s">
        <v>403</v>
      </c>
      <c r="K125" s="23">
        <v>10</v>
      </c>
      <c r="L125" s="24">
        <f>$K125/INDEX('Indicator Master'!$N$4:$N$46,MATCH($A125,'Indicator Master'!$A$4:$A$46,0))*'Risk Bands (Config)'!$B$5</f>
        <v>20</v>
      </c>
      <c r="M125" s="23">
        <f>IF($K125=INDEX('Indicator Master'!$N$4:$N$46,MATCH($A125,'Indicator Master'!$A$4:$A$46,0)),1,0)</f>
        <v>0</v>
      </c>
      <c r="N125" s="25"/>
      <c r="O125" s="19" t="s">
        <v>709</v>
      </c>
      <c r="P125" s="19" t="s">
        <v>710</v>
      </c>
      <c r="Q125" s="19" t="s">
        <v>411</v>
      </c>
      <c r="R125" s="26" t="str">
        <f t="shared" si="3"/>
        <v>EWS-031|10</v>
      </c>
    </row>
    <row r="126" spans="1:18" ht="32.25" customHeight="1" x14ac:dyDescent="0.35">
      <c r="A126" s="23" t="s">
        <v>246</v>
      </c>
      <c r="B126" s="19" t="s">
        <v>247</v>
      </c>
      <c r="C126" s="23" t="s">
        <v>30</v>
      </c>
      <c r="D126" s="19" t="s">
        <v>250</v>
      </c>
      <c r="E126" s="23">
        <v>3</v>
      </c>
      <c r="F126" s="19" t="s">
        <v>711</v>
      </c>
      <c r="G126" s="19" t="s">
        <v>432</v>
      </c>
      <c r="H126" s="23"/>
      <c r="I126" s="23"/>
      <c r="J126" s="23" t="s">
        <v>403</v>
      </c>
      <c r="K126" s="23">
        <v>25</v>
      </c>
      <c r="L126" s="24">
        <f>$K126/INDEX('Indicator Master'!$N$4:$N$46,MATCH($A126,'Indicator Master'!$A$4:$A$46,0))*'Risk Bands (Config)'!$B$5</f>
        <v>50</v>
      </c>
      <c r="M126" s="23">
        <f>IF($K126=INDEX('Indicator Master'!$N$4:$N$46,MATCH($A126,'Indicator Master'!$A$4:$A$46,0)),1,0)</f>
        <v>0</v>
      </c>
      <c r="N126" s="25"/>
      <c r="O126" s="19" t="s">
        <v>712</v>
      </c>
      <c r="P126" s="19" t="s">
        <v>713</v>
      </c>
      <c r="Q126" s="19" t="s">
        <v>377</v>
      </c>
      <c r="R126" s="26" t="str">
        <f t="shared" si="3"/>
        <v>EWS-031|25</v>
      </c>
    </row>
    <row r="127" spans="1:18" ht="32.25" customHeight="1" x14ac:dyDescent="0.35">
      <c r="A127" s="23" t="s">
        <v>246</v>
      </c>
      <c r="B127" s="19" t="s">
        <v>247</v>
      </c>
      <c r="C127" s="23" t="s">
        <v>30</v>
      </c>
      <c r="D127" s="19" t="s">
        <v>250</v>
      </c>
      <c r="E127" s="23">
        <v>4</v>
      </c>
      <c r="F127" s="19" t="s">
        <v>714</v>
      </c>
      <c r="G127" s="19" t="s">
        <v>432</v>
      </c>
      <c r="H127" s="23"/>
      <c r="I127" s="23"/>
      <c r="J127" s="23" t="s">
        <v>403</v>
      </c>
      <c r="K127" s="23">
        <v>50</v>
      </c>
      <c r="L127" s="24">
        <f>$K127/INDEX('Indicator Master'!$N$4:$N$46,MATCH($A127,'Indicator Master'!$A$4:$A$46,0))*'Risk Bands (Config)'!$B$5</f>
        <v>100</v>
      </c>
      <c r="M127" s="23">
        <f>IF($K127=INDEX('Indicator Master'!$N$4:$N$46,MATCH($A127,'Indicator Master'!$A$4:$A$46,0)),1,0)</f>
        <v>1</v>
      </c>
      <c r="N127" s="25"/>
      <c r="O127" s="19" t="s">
        <v>715</v>
      </c>
      <c r="P127" s="19" t="s">
        <v>716</v>
      </c>
      <c r="Q127" s="19" t="s">
        <v>386</v>
      </c>
      <c r="R127" s="26" t="str">
        <f t="shared" si="3"/>
        <v>EWS-031|50</v>
      </c>
    </row>
    <row r="128" spans="1:18" ht="21.75" customHeight="1" x14ac:dyDescent="0.35">
      <c r="A128" s="25" t="s">
        <v>255</v>
      </c>
      <c r="B128" s="19" t="s">
        <v>256</v>
      </c>
      <c r="C128" s="23" t="s">
        <v>30</v>
      </c>
      <c r="D128" s="19" t="s">
        <v>258</v>
      </c>
      <c r="E128" s="23">
        <v>1</v>
      </c>
      <c r="F128" s="19" t="s">
        <v>717</v>
      </c>
      <c r="G128" s="19" t="s">
        <v>432</v>
      </c>
      <c r="H128" s="23"/>
      <c r="I128" s="23"/>
      <c r="J128" s="23" t="s">
        <v>403</v>
      </c>
      <c r="K128" s="23">
        <v>0</v>
      </c>
      <c r="L128" s="24">
        <f>$K128/INDEX('Indicator Master'!$N$4:$N$46,MATCH($A128,'Indicator Master'!$A$4:$A$46,0))*'Risk Bands (Config)'!$B$5</f>
        <v>0</v>
      </c>
      <c r="M128" s="23">
        <f>IF($K128=INDEX('Indicator Master'!$N$4:$N$46,MATCH($A128,'Indicator Master'!$A$4:$A$46,0)),1,0)</f>
        <v>0</v>
      </c>
      <c r="N128" s="25"/>
      <c r="O128" s="19" t="s">
        <v>718</v>
      </c>
      <c r="P128" s="19" t="s">
        <v>370</v>
      </c>
      <c r="Q128" s="19" t="s">
        <v>371</v>
      </c>
      <c r="R128" s="26" t="str">
        <f t="shared" si="3"/>
        <v>EWS-032|0</v>
      </c>
    </row>
    <row r="129" spans="1:18" ht="21.75" customHeight="1" x14ac:dyDescent="0.35">
      <c r="A129" s="25" t="s">
        <v>255</v>
      </c>
      <c r="B129" s="19" t="s">
        <v>256</v>
      </c>
      <c r="C129" s="23" t="s">
        <v>30</v>
      </c>
      <c r="D129" s="19" t="s">
        <v>258</v>
      </c>
      <c r="E129" s="23">
        <v>2</v>
      </c>
      <c r="F129" s="19" t="s">
        <v>719</v>
      </c>
      <c r="G129" s="19" t="s">
        <v>432</v>
      </c>
      <c r="H129" s="23"/>
      <c r="I129" s="23"/>
      <c r="J129" s="23" t="s">
        <v>403</v>
      </c>
      <c r="K129" s="23">
        <v>10</v>
      </c>
      <c r="L129" s="24">
        <f>$K129/INDEX('Indicator Master'!$N$4:$N$46,MATCH($A129,'Indicator Master'!$A$4:$A$46,0))*'Risk Bands (Config)'!$B$5</f>
        <v>25</v>
      </c>
      <c r="M129" s="23">
        <f>IF($K129=INDEX('Indicator Master'!$N$4:$N$46,MATCH($A129,'Indicator Master'!$A$4:$A$46,0)),1,0)</f>
        <v>0</v>
      </c>
      <c r="N129" s="25"/>
      <c r="O129" s="19" t="s">
        <v>720</v>
      </c>
      <c r="P129" s="19" t="s">
        <v>721</v>
      </c>
      <c r="Q129" s="19" t="s">
        <v>411</v>
      </c>
      <c r="R129" s="26" t="str">
        <f t="shared" si="3"/>
        <v>EWS-032|10</v>
      </c>
    </row>
    <row r="130" spans="1:18" ht="21.75" customHeight="1" x14ac:dyDescent="0.35">
      <c r="A130" s="25" t="s">
        <v>255</v>
      </c>
      <c r="B130" s="19" t="s">
        <v>256</v>
      </c>
      <c r="C130" s="23" t="s">
        <v>30</v>
      </c>
      <c r="D130" s="19" t="s">
        <v>258</v>
      </c>
      <c r="E130" s="23">
        <v>3</v>
      </c>
      <c r="F130" s="19" t="s">
        <v>722</v>
      </c>
      <c r="G130" s="19" t="s">
        <v>432</v>
      </c>
      <c r="H130" s="23"/>
      <c r="I130" s="23"/>
      <c r="J130" s="23" t="s">
        <v>403</v>
      </c>
      <c r="K130" s="23">
        <v>25</v>
      </c>
      <c r="L130" s="24">
        <f>$K130/INDEX('Indicator Master'!$N$4:$N$46,MATCH($A130,'Indicator Master'!$A$4:$A$46,0))*'Risk Bands (Config)'!$B$5</f>
        <v>62.5</v>
      </c>
      <c r="M130" s="23">
        <f>IF($K130=INDEX('Indicator Master'!$N$4:$N$46,MATCH($A130,'Indicator Master'!$A$4:$A$46,0)),1,0)</f>
        <v>0</v>
      </c>
      <c r="N130" s="25"/>
      <c r="O130" s="19" t="s">
        <v>723</v>
      </c>
      <c r="P130" s="19" t="s">
        <v>724</v>
      </c>
      <c r="Q130" s="19" t="s">
        <v>680</v>
      </c>
      <c r="R130" s="26" t="str">
        <f t="shared" si="3"/>
        <v>EWS-032|25</v>
      </c>
    </row>
    <row r="131" spans="1:18" ht="42.75" customHeight="1" x14ac:dyDescent="0.35">
      <c r="A131" s="25" t="s">
        <v>255</v>
      </c>
      <c r="B131" s="19" t="s">
        <v>256</v>
      </c>
      <c r="C131" s="23" t="s">
        <v>30</v>
      </c>
      <c r="D131" s="19" t="s">
        <v>258</v>
      </c>
      <c r="E131" s="23">
        <v>4</v>
      </c>
      <c r="F131" s="19" t="s">
        <v>725</v>
      </c>
      <c r="G131" s="19" t="s">
        <v>432</v>
      </c>
      <c r="H131" s="23"/>
      <c r="I131" s="23"/>
      <c r="J131" s="23" t="s">
        <v>403</v>
      </c>
      <c r="K131" s="23">
        <v>40</v>
      </c>
      <c r="L131" s="24">
        <f>$K131/INDEX('Indicator Master'!$N$4:$N$46,MATCH($A131,'Indicator Master'!$A$4:$A$46,0))*'Risk Bands (Config)'!$B$5</f>
        <v>100</v>
      </c>
      <c r="M131" s="23">
        <f>IF($K131=INDEX('Indicator Master'!$N$4:$N$46,MATCH($A131,'Indicator Master'!$A$4:$A$46,0)),1,0)</f>
        <v>1</v>
      </c>
      <c r="N131" s="25" t="s">
        <v>417</v>
      </c>
      <c r="O131" s="19" t="s">
        <v>726</v>
      </c>
      <c r="P131" s="19" t="s">
        <v>727</v>
      </c>
      <c r="Q131" s="19" t="s">
        <v>534</v>
      </c>
      <c r="R131" s="26" t="str">
        <f t="shared" si="3"/>
        <v>EWS-032|40</v>
      </c>
    </row>
    <row r="132" spans="1:18" ht="21.75" customHeight="1" x14ac:dyDescent="0.35">
      <c r="A132" s="23" t="s">
        <v>261</v>
      </c>
      <c r="B132" s="19" t="s">
        <v>262</v>
      </c>
      <c r="C132" s="23" t="s">
        <v>30</v>
      </c>
      <c r="D132" s="19" t="s">
        <v>265</v>
      </c>
      <c r="E132" s="23">
        <v>1</v>
      </c>
      <c r="F132" s="19" t="s">
        <v>728</v>
      </c>
      <c r="G132" s="19" t="s">
        <v>432</v>
      </c>
      <c r="H132" s="23"/>
      <c r="I132" s="23"/>
      <c r="J132" s="23" t="s">
        <v>403</v>
      </c>
      <c r="K132" s="23">
        <v>0</v>
      </c>
      <c r="L132" s="24">
        <f>$K132/INDEX('Indicator Master'!$N$4:$N$46,MATCH($A132,'Indicator Master'!$A$4:$A$46,0))*'Risk Bands (Config)'!$B$5</f>
        <v>0</v>
      </c>
      <c r="M132" s="23">
        <f>IF($K132=INDEX('Indicator Master'!$N$4:$N$46,MATCH($A132,'Indicator Master'!$A$4:$A$46,0)),1,0)</f>
        <v>0</v>
      </c>
      <c r="N132" s="25"/>
      <c r="O132" s="19" t="s">
        <v>729</v>
      </c>
      <c r="P132" s="19" t="s">
        <v>370</v>
      </c>
      <c r="Q132" s="19" t="s">
        <v>371</v>
      </c>
      <c r="R132" s="26" t="str">
        <f t="shared" si="3"/>
        <v>EWS-033|0</v>
      </c>
    </row>
    <row r="133" spans="1:18" ht="21.75" customHeight="1" x14ac:dyDescent="0.35">
      <c r="A133" s="23" t="s">
        <v>261</v>
      </c>
      <c r="B133" s="19" t="s">
        <v>262</v>
      </c>
      <c r="C133" s="23" t="s">
        <v>30</v>
      </c>
      <c r="D133" s="19" t="s">
        <v>265</v>
      </c>
      <c r="E133" s="23">
        <v>2</v>
      </c>
      <c r="F133" s="19" t="s">
        <v>730</v>
      </c>
      <c r="G133" s="19" t="s">
        <v>432</v>
      </c>
      <c r="H133" s="23"/>
      <c r="I133" s="23"/>
      <c r="J133" s="23" t="s">
        <v>403</v>
      </c>
      <c r="K133" s="23">
        <v>10</v>
      </c>
      <c r="L133" s="24">
        <f>$K133/INDEX('Indicator Master'!$N$4:$N$46,MATCH($A133,'Indicator Master'!$A$4:$A$46,0))*'Risk Bands (Config)'!$B$5</f>
        <v>25</v>
      </c>
      <c r="M133" s="23">
        <f>IF($K133=INDEX('Indicator Master'!$N$4:$N$46,MATCH($A133,'Indicator Master'!$A$4:$A$46,0)),1,0)</f>
        <v>0</v>
      </c>
      <c r="N133" s="25"/>
      <c r="O133" s="19" t="s">
        <v>731</v>
      </c>
      <c r="P133" s="19" t="s">
        <v>732</v>
      </c>
      <c r="Q133" s="19" t="s">
        <v>411</v>
      </c>
      <c r="R133" s="26" t="str">
        <f t="shared" ref="R133:R163" si="4">$A133&amp;"|"&amp;$K133</f>
        <v>EWS-033|10</v>
      </c>
    </row>
    <row r="134" spans="1:18" ht="21.75" customHeight="1" x14ac:dyDescent="0.35">
      <c r="A134" s="23" t="s">
        <v>261</v>
      </c>
      <c r="B134" s="19" t="s">
        <v>262</v>
      </c>
      <c r="C134" s="23" t="s">
        <v>30</v>
      </c>
      <c r="D134" s="19" t="s">
        <v>265</v>
      </c>
      <c r="E134" s="23">
        <v>3</v>
      </c>
      <c r="F134" s="19" t="s">
        <v>733</v>
      </c>
      <c r="G134" s="19" t="s">
        <v>432</v>
      </c>
      <c r="H134" s="23"/>
      <c r="I134" s="23"/>
      <c r="J134" s="23" t="s">
        <v>403</v>
      </c>
      <c r="K134" s="23">
        <v>25</v>
      </c>
      <c r="L134" s="24">
        <f>$K134/INDEX('Indicator Master'!$N$4:$N$46,MATCH($A134,'Indicator Master'!$A$4:$A$46,0))*'Risk Bands (Config)'!$B$5</f>
        <v>62.5</v>
      </c>
      <c r="M134" s="23">
        <f>IF($K134=INDEX('Indicator Master'!$N$4:$N$46,MATCH($A134,'Indicator Master'!$A$4:$A$46,0)),1,0)</f>
        <v>0</v>
      </c>
      <c r="N134" s="25"/>
      <c r="O134" s="19" t="s">
        <v>734</v>
      </c>
      <c r="P134" s="19" t="s">
        <v>735</v>
      </c>
      <c r="Q134" s="19" t="s">
        <v>381</v>
      </c>
      <c r="R134" s="26" t="str">
        <f t="shared" si="4"/>
        <v>EWS-033|25</v>
      </c>
    </row>
    <row r="135" spans="1:18" ht="21.75" customHeight="1" x14ac:dyDescent="0.35">
      <c r="A135" s="23" t="s">
        <v>261</v>
      </c>
      <c r="B135" s="19" t="s">
        <v>262</v>
      </c>
      <c r="C135" s="23" t="s">
        <v>30</v>
      </c>
      <c r="D135" s="19" t="s">
        <v>265</v>
      </c>
      <c r="E135" s="23">
        <v>4</v>
      </c>
      <c r="F135" s="19" t="s">
        <v>736</v>
      </c>
      <c r="G135" s="19" t="s">
        <v>432</v>
      </c>
      <c r="H135" s="23"/>
      <c r="I135" s="23"/>
      <c r="J135" s="23" t="s">
        <v>403</v>
      </c>
      <c r="K135" s="23">
        <v>40</v>
      </c>
      <c r="L135" s="24">
        <f>$K135/INDEX('Indicator Master'!$N$4:$N$46,MATCH($A135,'Indicator Master'!$A$4:$A$46,0))*'Risk Bands (Config)'!$B$5</f>
        <v>100</v>
      </c>
      <c r="M135" s="23">
        <f>IF($K135=INDEX('Indicator Master'!$N$4:$N$46,MATCH($A135,'Indicator Master'!$A$4:$A$46,0)),1,0)</f>
        <v>1</v>
      </c>
      <c r="N135" s="25"/>
      <c r="O135" s="19" t="s">
        <v>737</v>
      </c>
      <c r="P135" s="19" t="s">
        <v>738</v>
      </c>
      <c r="Q135" s="19" t="s">
        <v>386</v>
      </c>
      <c r="R135" s="26" t="str">
        <f t="shared" si="4"/>
        <v>EWS-033|40</v>
      </c>
    </row>
    <row r="136" spans="1:18" ht="21.75" customHeight="1" x14ac:dyDescent="0.35">
      <c r="A136" s="23" t="s">
        <v>270</v>
      </c>
      <c r="B136" s="19" t="s">
        <v>271</v>
      </c>
      <c r="C136" s="23" t="s">
        <v>30</v>
      </c>
      <c r="D136" s="19" t="s">
        <v>273</v>
      </c>
      <c r="E136" s="23">
        <v>1</v>
      </c>
      <c r="F136" s="19" t="s">
        <v>739</v>
      </c>
      <c r="G136" s="19" t="s">
        <v>367</v>
      </c>
      <c r="H136" s="23">
        <v>0</v>
      </c>
      <c r="I136" s="23">
        <v>0</v>
      </c>
      <c r="J136" s="23" t="s">
        <v>398</v>
      </c>
      <c r="K136" s="23">
        <v>0</v>
      </c>
      <c r="L136" s="24">
        <f>$K136/INDEX('Indicator Master'!$N$4:$N$46,MATCH($A136,'Indicator Master'!$A$4:$A$46,0))*'Risk Bands (Config)'!$B$5</f>
        <v>0</v>
      </c>
      <c r="M136" s="23">
        <f>IF($K136=INDEX('Indicator Master'!$N$4:$N$46,MATCH($A136,'Indicator Master'!$A$4:$A$46,0)),1,0)</f>
        <v>0</v>
      </c>
      <c r="N136" s="25"/>
      <c r="O136" s="19" t="s">
        <v>740</v>
      </c>
      <c r="P136" s="19" t="s">
        <v>370</v>
      </c>
      <c r="Q136" s="19" t="s">
        <v>371</v>
      </c>
      <c r="R136" s="26" t="str">
        <f t="shared" si="4"/>
        <v>EWS-034|0</v>
      </c>
    </row>
    <row r="137" spans="1:18" ht="21.75" customHeight="1" x14ac:dyDescent="0.35">
      <c r="A137" s="23" t="s">
        <v>270</v>
      </c>
      <c r="B137" s="19" t="s">
        <v>271</v>
      </c>
      <c r="C137" s="23" t="s">
        <v>30</v>
      </c>
      <c r="D137" s="19" t="s">
        <v>273</v>
      </c>
      <c r="E137" s="23">
        <v>2</v>
      </c>
      <c r="F137" s="19" t="s">
        <v>741</v>
      </c>
      <c r="G137" s="19" t="s">
        <v>373</v>
      </c>
      <c r="H137" s="23">
        <v>0</v>
      </c>
      <c r="I137" s="23">
        <v>5</v>
      </c>
      <c r="J137" s="23" t="s">
        <v>374</v>
      </c>
      <c r="K137" s="23">
        <v>10</v>
      </c>
      <c r="L137" s="24">
        <f>$K137/INDEX('Indicator Master'!$N$4:$N$46,MATCH($A137,'Indicator Master'!$A$4:$A$46,0))*'Risk Bands (Config)'!$B$5</f>
        <v>33.333333333333329</v>
      </c>
      <c r="M137" s="23">
        <f>IF($K137=INDEX('Indicator Master'!$N$4:$N$46,MATCH($A137,'Indicator Master'!$A$4:$A$46,0)),1,0)</f>
        <v>0</v>
      </c>
      <c r="N137" s="25"/>
      <c r="O137" s="19" t="s">
        <v>742</v>
      </c>
      <c r="P137" s="19" t="s">
        <v>743</v>
      </c>
      <c r="Q137" s="19" t="s">
        <v>377</v>
      </c>
      <c r="R137" s="26" t="str">
        <f t="shared" si="4"/>
        <v>EWS-034|10</v>
      </c>
    </row>
    <row r="138" spans="1:18" ht="21.75" customHeight="1" x14ac:dyDescent="0.35">
      <c r="A138" s="23" t="s">
        <v>270</v>
      </c>
      <c r="B138" s="19" t="s">
        <v>271</v>
      </c>
      <c r="C138" s="23" t="s">
        <v>30</v>
      </c>
      <c r="D138" s="19" t="s">
        <v>273</v>
      </c>
      <c r="E138" s="23">
        <v>3</v>
      </c>
      <c r="F138" s="19" t="s">
        <v>516</v>
      </c>
      <c r="G138" s="19" t="s">
        <v>373</v>
      </c>
      <c r="H138" s="23">
        <v>5</v>
      </c>
      <c r="I138" s="23">
        <v>10</v>
      </c>
      <c r="J138" s="23" t="s">
        <v>374</v>
      </c>
      <c r="K138" s="23">
        <v>20</v>
      </c>
      <c r="L138" s="24">
        <f>$K138/INDEX('Indicator Master'!$N$4:$N$46,MATCH($A138,'Indicator Master'!$A$4:$A$46,0))*'Risk Bands (Config)'!$B$5</f>
        <v>66.666666666666657</v>
      </c>
      <c r="M138" s="23">
        <f>IF($K138=INDEX('Indicator Master'!$N$4:$N$46,MATCH($A138,'Indicator Master'!$A$4:$A$46,0)),1,0)</f>
        <v>0</v>
      </c>
      <c r="N138" s="25"/>
      <c r="O138" s="19" t="s">
        <v>744</v>
      </c>
      <c r="P138" s="19" t="s">
        <v>745</v>
      </c>
      <c r="Q138" s="19" t="s">
        <v>381</v>
      </c>
      <c r="R138" s="26" t="str">
        <f t="shared" si="4"/>
        <v>EWS-034|20</v>
      </c>
    </row>
    <row r="139" spans="1:18" ht="21.75" customHeight="1" x14ac:dyDescent="0.35">
      <c r="A139" s="23" t="s">
        <v>270</v>
      </c>
      <c r="B139" s="19" t="s">
        <v>271</v>
      </c>
      <c r="C139" s="23" t="s">
        <v>30</v>
      </c>
      <c r="D139" s="19" t="s">
        <v>273</v>
      </c>
      <c r="E139" s="23">
        <v>4</v>
      </c>
      <c r="F139" s="19" t="s">
        <v>746</v>
      </c>
      <c r="G139" s="19" t="s">
        <v>367</v>
      </c>
      <c r="H139" s="23">
        <v>10</v>
      </c>
      <c r="I139" s="23"/>
      <c r="J139" s="23" t="s">
        <v>398</v>
      </c>
      <c r="K139" s="23">
        <v>30</v>
      </c>
      <c r="L139" s="24">
        <f>$K139/INDEX('Indicator Master'!$N$4:$N$46,MATCH($A139,'Indicator Master'!$A$4:$A$46,0))*'Risk Bands (Config)'!$B$5</f>
        <v>100</v>
      </c>
      <c r="M139" s="23">
        <f>IF($K139=INDEX('Indicator Master'!$N$4:$N$46,MATCH($A139,'Indicator Master'!$A$4:$A$46,0)),1,0)</f>
        <v>1</v>
      </c>
      <c r="N139" s="25"/>
      <c r="O139" s="19" t="s">
        <v>747</v>
      </c>
      <c r="P139" s="19" t="s">
        <v>748</v>
      </c>
      <c r="Q139" s="19" t="s">
        <v>386</v>
      </c>
      <c r="R139" s="26" t="str">
        <f t="shared" si="4"/>
        <v>EWS-034|30</v>
      </c>
    </row>
    <row r="140" spans="1:18" ht="95.25" customHeight="1" x14ac:dyDescent="0.35">
      <c r="A140" s="25" t="s">
        <v>276</v>
      </c>
      <c r="B140" s="19" t="s">
        <v>277</v>
      </c>
      <c r="C140" s="23" t="s">
        <v>30</v>
      </c>
      <c r="D140" s="19" t="s">
        <v>279</v>
      </c>
      <c r="E140" s="23">
        <v>1</v>
      </c>
      <c r="F140" s="19" t="s">
        <v>749</v>
      </c>
      <c r="G140" s="19" t="s">
        <v>432</v>
      </c>
      <c r="H140" s="23"/>
      <c r="I140" s="23"/>
      <c r="J140" s="23" t="s">
        <v>555</v>
      </c>
      <c r="K140" s="23">
        <v>0</v>
      </c>
      <c r="L140" s="24">
        <f>$K140/INDEX('Indicator Master'!$N$4:$N$46,MATCH($A140,'Indicator Master'!$A$4:$A$46,0))*'Risk Bands (Config)'!$B$5</f>
        <v>0</v>
      </c>
      <c r="M140" s="23">
        <f>IF($K140=INDEX('Indicator Master'!$N$4:$N$46,MATCH($A140,'Indicator Master'!$A$4:$A$46,0)),1,0)</f>
        <v>0</v>
      </c>
      <c r="N140" s="25"/>
      <c r="O140" s="19" t="s">
        <v>750</v>
      </c>
      <c r="P140" s="19" t="s">
        <v>370</v>
      </c>
      <c r="Q140" s="19" t="s">
        <v>371</v>
      </c>
      <c r="R140" s="26" t="str">
        <f t="shared" si="4"/>
        <v>EWS-035|0</v>
      </c>
    </row>
    <row r="141" spans="1:18" ht="95.25" customHeight="1" x14ac:dyDescent="0.35">
      <c r="A141" s="25" t="s">
        <v>276</v>
      </c>
      <c r="B141" s="19" t="s">
        <v>277</v>
      </c>
      <c r="C141" s="23" t="s">
        <v>30</v>
      </c>
      <c r="D141" s="19" t="s">
        <v>279</v>
      </c>
      <c r="E141" s="23">
        <v>2</v>
      </c>
      <c r="F141" s="19" t="s">
        <v>751</v>
      </c>
      <c r="G141" s="19" t="s">
        <v>432</v>
      </c>
      <c r="H141" s="23"/>
      <c r="I141" s="23"/>
      <c r="J141" s="23" t="s">
        <v>555</v>
      </c>
      <c r="K141" s="23">
        <v>50</v>
      </c>
      <c r="L141" s="24">
        <f>$K141/INDEX('Indicator Master'!$N$4:$N$46,MATCH($A141,'Indicator Master'!$A$4:$A$46,0))*'Risk Bands (Config)'!$B$5</f>
        <v>100</v>
      </c>
      <c r="M141" s="23">
        <f>IF($K141=INDEX('Indicator Master'!$N$4:$N$46,MATCH($A141,'Indicator Master'!$A$4:$A$46,0)),1,0)</f>
        <v>1</v>
      </c>
      <c r="N141" s="25" t="s">
        <v>417</v>
      </c>
      <c r="O141" s="19" t="s">
        <v>752</v>
      </c>
      <c r="P141" s="19" t="s">
        <v>753</v>
      </c>
      <c r="Q141" s="19" t="s">
        <v>381</v>
      </c>
      <c r="R141" s="26" t="str">
        <f t="shared" si="4"/>
        <v>EWS-035|50</v>
      </c>
    </row>
    <row r="142" spans="1:18" ht="21.75" customHeight="1" x14ac:dyDescent="0.35">
      <c r="A142" s="23" t="s">
        <v>282</v>
      </c>
      <c r="B142" s="19" t="s">
        <v>283</v>
      </c>
      <c r="C142" s="23" t="s">
        <v>30</v>
      </c>
      <c r="D142" s="19" t="s">
        <v>286</v>
      </c>
      <c r="E142" s="23">
        <v>1</v>
      </c>
      <c r="F142" s="19" t="s">
        <v>754</v>
      </c>
      <c r="G142" s="19" t="s">
        <v>432</v>
      </c>
      <c r="H142" s="23"/>
      <c r="I142" s="23"/>
      <c r="J142" s="23" t="s">
        <v>403</v>
      </c>
      <c r="K142" s="23">
        <v>0</v>
      </c>
      <c r="L142" s="24">
        <f>$K142/INDEX('Indicator Master'!$N$4:$N$46,MATCH($A142,'Indicator Master'!$A$4:$A$46,0))*'Risk Bands (Config)'!$B$5</f>
        <v>0</v>
      </c>
      <c r="M142" s="23">
        <f>IF($K142=INDEX('Indicator Master'!$N$4:$N$46,MATCH($A142,'Indicator Master'!$A$4:$A$46,0)),1,0)</f>
        <v>0</v>
      </c>
      <c r="N142" s="25"/>
      <c r="O142" s="19" t="s">
        <v>755</v>
      </c>
      <c r="P142" s="19" t="s">
        <v>370</v>
      </c>
      <c r="Q142" s="19" t="s">
        <v>371</v>
      </c>
      <c r="R142" s="26" t="str">
        <f t="shared" si="4"/>
        <v>EWS-036|0</v>
      </c>
    </row>
    <row r="143" spans="1:18" ht="21.75" customHeight="1" x14ac:dyDescent="0.35">
      <c r="A143" s="23" t="s">
        <v>282</v>
      </c>
      <c r="B143" s="19" t="s">
        <v>283</v>
      </c>
      <c r="C143" s="23" t="s">
        <v>30</v>
      </c>
      <c r="D143" s="19" t="s">
        <v>286</v>
      </c>
      <c r="E143" s="23">
        <v>2</v>
      </c>
      <c r="F143" s="19" t="s">
        <v>756</v>
      </c>
      <c r="G143" s="19" t="s">
        <v>432</v>
      </c>
      <c r="H143" s="23"/>
      <c r="I143" s="23"/>
      <c r="J143" s="23" t="s">
        <v>403</v>
      </c>
      <c r="K143" s="23">
        <v>25</v>
      </c>
      <c r="L143" s="24">
        <f>$K143/INDEX('Indicator Master'!$N$4:$N$46,MATCH($A143,'Indicator Master'!$A$4:$A$46,0))*'Risk Bands (Config)'!$B$5</f>
        <v>50</v>
      </c>
      <c r="M143" s="23">
        <f>IF($K143=INDEX('Indicator Master'!$N$4:$N$46,MATCH($A143,'Indicator Master'!$A$4:$A$46,0)),1,0)</f>
        <v>0</v>
      </c>
      <c r="N143" s="25"/>
      <c r="O143" s="19" t="s">
        <v>757</v>
      </c>
      <c r="P143" s="19" t="s">
        <v>758</v>
      </c>
      <c r="Q143" s="19" t="s">
        <v>377</v>
      </c>
      <c r="R143" s="26" t="str">
        <f t="shared" si="4"/>
        <v>EWS-036|25</v>
      </c>
    </row>
    <row r="144" spans="1:18" ht="21.75" customHeight="1" x14ac:dyDescent="0.35">
      <c r="A144" s="23" t="s">
        <v>282</v>
      </c>
      <c r="B144" s="19" t="s">
        <v>283</v>
      </c>
      <c r="C144" s="23" t="s">
        <v>30</v>
      </c>
      <c r="D144" s="19" t="s">
        <v>286</v>
      </c>
      <c r="E144" s="23">
        <v>3</v>
      </c>
      <c r="F144" s="19" t="s">
        <v>759</v>
      </c>
      <c r="G144" s="19" t="s">
        <v>432</v>
      </c>
      <c r="H144" s="23"/>
      <c r="I144" s="23"/>
      <c r="J144" s="23" t="s">
        <v>403</v>
      </c>
      <c r="K144" s="23">
        <v>50</v>
      </c>
      <c r="L144" s="24">
        <f>$K144/INDEX('Indicator Master'!$N$4:$N$46,MATCH($A144,'Indicator Master'!$A$4:$A$46,0))*'Risk Bands (Config)'!$B$5</f>
        <v>100</v>
      </c>
      <c r="M144" s="23">
        <f>IF($K144=INDEX('Indicator Master'!$N$4:$N$46,MATCH($A144,'Indicator Master'!$A$4:$A$46,0)),1,0)</f>
        <v>1</v>
      </c>
      <c r="N144" s="25"/>
      <c r="O144" s="19" t="s">
        <v>760</v>
      </c>
      <c r="P144" s="19" t="s">
        <v>761</v>
      </c>
      <c r="Q144" s="19" t="s">
        <v>420</v>
      </c>
      <c r="R144" s="26" t="str">
        <f t="shared" si="4"/>
        <v>EWS-036|50</v>
      </c>
    </row>
    <row r="145" spans="1:18" ht="21.75" customHeight="1" x14ac:dyDescent="0.35">
      <c r="A145" s="23" t="s">
        <v>289</v>
      </c>
      <c r="B145" s="19" t="s">
        <v>290</v>
      </c>
      <c r="C145" s="23" t="s">
        <v>30</v>
      </c>
      <c r="D145" s="19" t="s">
        <v>293</v>
      </c>
      <c r="E145" s="23">
        <v>1</v>
      </c>
      <c r="F145" s="19" t="s">
        <v>583</v>
      </c>
      <c r="G145" s="19" t="s">
        <v>432</v>
      </c>
      <c r="H145" s="23"/>
      <c r="I145" s="23"/>
      <c r="J145" s="23" t="s">
        <v>403</v>
      </c>
      <c r="K145" s="23">
        <v>0</v>
      </c>
      <c r="L145" s="24">
        <f>$K145/INDEX('Indicator Master'!$N$4:$N$46,MATCH($A145,'Indicator Master'!$A$4:$A$46,0))*'Risk Bands (Config)'!$B$5</f>
        <v>0</v>
      </c>
      <c r="M145" s="23">
        <f>IF($K145=INDEX('Indicator Master'!$N$4:$N$46,MATCH($A145,'Indicator Master'!$A$4:$A$46,0)),1,0)</f>
        <v>0</v>
      </c>
      <c r="N145" s="25"/>
      <c r="O145" s="19" t="s">
        <v>762</v>
      </c>
      <c r="P145" s="19" t="s">
        <v>370</v>
      </c>
      <c r="Q145" s="19" t="s">
        <v>371</v>
      </c>
      <c r="R145" s="26" t="str">
        <f t="shared" si="4"/>
        <v>EWS-037|0</v>
      </c>
    </row>
    <row r="146" spans="1:18" ht="21.75" customHeight="1" x14ac:dyDescent="0.35">
      <c r="A146" s="23" t="s">
        <v>289</v>
      </c>
      <c r="B146" s="19" t="s">
        <v>290</v>
      </c>
      <c r="C146" s="23" t="s">
        <v>30</v>
      </c>
      <c r="D146" s="19" t="s">
        <v>293</v>
      </c>
      <c r="E146" s="23">
        <v>2</v>
      </c>
      <c r="F146" s="19" t="s">
        <v>763</v>
      </c>
      <c r="G146" s="19" t="s">
        <v>432</v>
      </c>
      <c r="H146" s="23"/>
      <c r="I146" s="23"/>
      <c r="J146" s="23" t="s">
        <v>403</v>
      </c>
      <c r="K146" s="23">
        <v>15</v>
      </c>
      <c r="L146" s="24">
        <f>$K146/INDEX('Indicator Master'!$N$4:$N$46,MATCH($A146,'Indicator Master'!$A$4:$A$46,0))*'Risk Bands (Config)'!$B$5</f>
        <v>30</v>
      </c>
      <c r="M146" s="23">
        <f>IF($K146=INDEX('Indicator Master'!$N$4:$N$46,MATCH($A146,'Indicator Master'!$A$4:$A$46,0)),1,0)</f>
        <v>0</v>
      </c>
      <c r="N146" s="25"/>
      <c r="O146" s="19" t="s">
        <v>764</v>
      </c>
      <c r="P146" s="19" t="s">
        <v>765</v>
      </c>
      <c r="Q146" s="19" t="s">
        <v>411</v>
      </c>
      <c r="R146" s="26" t="str">
        <f t="shared" si="4"/>
        <v>EWS-037|15</v>
      </c>
    </row>
    <row r="147" spans="1:18" ht="21.75" customHeight="1" x14ac:dyDescent="0.35">
      <c r="A147" s="23" t="s">
        <v>289</v>
      </c>
      <c r="B147" s="19" t="s">
        <v>290</v>
      </c>
      <c r="C147" s="23" t="s">
        <v>30</v>
      </c>
      <c r="D147" s="19" t="s">
        <v>293</v>
      </c>
      <c r="E147" s="23">
        <v>3</v>
      </c>
      <c r="F147" s="19" t="s">
        <v>766</v>
      </c>
      <c r="G147" s="19" t="s">
        <v>432</v>
      </c>
      <c r="H147" s="23"/>
      <c r="I147" s="23"/>
      <c r="J147" s="23" t="s">
        <v>403</v>
      </c>
      <c r="K147" s="23">
        <v>30</v>
      </c>
      <c r="L147" s="24">
        <f>$K147/INDEX('Indicator Master'!$N$4:$N$46,MATCH($A147,'Indicator Master'!$A$4:$A$46,0))*'Risk Bands (Config)'!$B$5</f>
        <v>60</v>
      </c>
      <c r="M147" s="23">
        <f>IF($K147=INDEX('Indicator Master'!$N$4:$N$46,MATCH($A147,'Indicator Master'!$A$4:$A$46,0)),1,0)</f>
        <v>0</v>
      </c>
      <c r="N147" s="25"/>
      <c r="O147" s="19" t="s">
        <v>767</v>
      </c>
      <c r="P147" s="19" t="s">
        <v>768</v>
      </c>
      <c r="Q147" s="19" t="s">
        <v>377</v>
      </c>
      <c r="R147" s="26" t="str">
        <f t="shared" si="4"/>
        <v>EWS-037|30</v>
      </c>
    </row>
    <row r="148" spans="1:18" ht="21.75" customHeight="1" x14ac:dyDescent="0.35">
      <c r="A148" s="23" t="s">
        <v>289</v>
      </c>
      <c r="B148" s="19" t="s">
        <v>290</v>
      </c>
      <c r="C148" s="23" t="s">
        <v>30</v>
      </c>
      <c r="D148" s="19" t="s">
        <v>293</v>
      </c>
      <c r="E148" s="23">
        <v>4</v>
      </c>
      <c r="F148" s="19" t="s">
        <v>769</v>
      </c>
      <c r="G148" s="19" t="s">
        <v>432</v>
      </c>
      <c r="H148" s="23"/>
      <c r="I148" s="23"/>
      <c r="J148" s="23" t="s">
        <v>403</v>
      </c>
      <c r="K148" s="23">
        <v>50</v>
      </c>
      <c r="L148" s="24">
        <f>$K148/INDEX('Indicator Master'!$N$4:$N$46,MATCH($A148,'Indicator Master'!$A$4:$A$46,0))*'Risk Bands (Config)'!$B$5</f>
        <v>100</v>
      </c>
      <c r="M148" s="23">
        <f>IF($K148=INDEX('Indicator Master'!$N$4:$N$46,MATCH($A148,'Indicator Master'!$A$4:$A$46,0)),1,0)</f>
        <v>1</v>
      </c>
      <c r="N148" s="25"/>
      <c r="O148" s="19" t="s">
        <v>770</v>
      </c>
      <c r="P148" s="19" t="s">
        <v>771</v>
      </c>
      <c r="Q148" s="19" t="s">
        <v>667</v>
      </c>
      <c r="R148" s="26" t="str">
        <f t="shared" si="4"/>
        <v>EWS-037|50</v>
      </c>
    </row>
    <row r="149" spans="1:18" ht="32.25" customHeight="1" x14ac:dyDescent="0.35">
      <c r="A149" s="23" t="s">
        <v>296</v>
      </c>
      <c r="B149" s="19" t="s">
        <v>297</v>
      </c>
      <c r="C149" s="23" t="s">
        <v>30</v>
      </c>
      <c r="D149" s="19" t="s">
        <v>299</v>
      </c>
      <c r="E149" s="23">
        <v>1</v>
      </c>
      <c r="F149" s="19" t="s">
        <v>772</v>
      </c>
      <c r="G149" s="19" t="s">
        <v>432</v>
      </c>
      <c r="H149" s="23"/>
      <c r="I149" s="23"/>
      <c r="J149" s="23" t="s">
        <v>555</v>
      </c>
      <c r="K149" s="23">
        <v>0</v>
      </c>
      <c r="L149" s="24">
        <f>$K149/INDEX('Indicator Master'!$N$4:$N$46,MATCH($A149,'Indicator Master'!$A$4:$A$46,0))*'Risk Bands (Config)'!$B$5</f>
        <v>0</v>
      </c>
      <c r="M149" s="23">
        <f>IF($K149=INDEX('Indicator Master'!$N$4:$N$46,MATCH($A149,'Indicator Master'!$A$4:$A$46,0)),1,0)</f>
        <v>0</v>
      </c>
      <c r="N149" s="25"/>
      <c r="O149" s="19" t="s">
        <v>773</v>
      </c>
      <c r="P149" s="19" t="s">
        <v>370</v>
      </c>
      <c r="Q149" s="19" t="s">
        <v>371</v>
      </c>
      <c r="R149" s="26" t="str">
        <f t="shared" si="4"/>
        <v>EWS-038|0</v>
      </c>
    </row>
    <row r="150" spans="1:18" ht="32.25" customHeight="1" x14ac:dyDescent="0.35">
      <c r="A150" s="23" t="s">
        <v>296</v>
      </c>
      <c r="B150" s="19" t="s">
        <v>297</v>
      </c>
      <c r="C150" s="23" t="s">
        <v>30</v>
      </c>
      <c r="D150" s="19" t="s">
        <v>299</v>
      </c>
      <c r="E150" s="23">
        <v>2</v>
      </c>
      <c r="F150" s="19" t="s">
        <v>774</v>
      </c>
      <c r="G150" s="19" t="s">
        <v>432</v>
      </c>
      <c r="H150" s="23"/>
      <c r="I150" s="23"/>
      <c r="J150" s="23" t="s">
        <v>555</v>
      </c>
      <c r="K150" s="23">
        <v>15</v>
      </c>
      <c r="L150" s="24">
        <f>$K150/INDEX('Indicator Master'!$N$4:$N$46,MATCH($A150,'Indicator Master'!$A$4:$A$46,0))*'Risk Bands (Config)'!$B$5</f>
        <v>37.5</v>
      </c>
      <c r="M150" s="23">
        <f>IF($K150=INDEX('Indicator Master'!$N$4:$N$46,MATCH($A150,'Indicator Master'!$A$4:$A$46,0)),1,0)</f>
        <v>0</v>
      </c>
      <c r="N150" s="25"/>
      <c r="O150" s="19" t="s">
        <v>775</v>
      </c>
      <c r="P150" s="19" t="s">
        <v>776</v>
      </c>
      <c r="Q150" s="19" t="s">
        <v>377</v>
      </c>
      <c r="R150" s="26" t="str">
        <f t="shared" si="4"/>
        <v>EWS-038|15</v>
      </c>
    </row>
    <row r="151" spans="1:18" ht="32.25" customHeight="1" x14ac:dyDescent="0.35">
      <c r="A151" s="23" t="s">
        <v>296</v>
      </c>
      <c r="B151" s="19" t="s">
        <v>297</v>
      </c>
      <c r="C151" s="23" t="s">
        <v>30</v>
      </c>
      <c r="D151" s="19" t="s">
        <v>299</v>
      </c>
      <c r="E151" s="23">
        <v>3</v>
      </c>
      <c r="F151" s="19" t="s">
        <v>777</v>
      </c>
      <c r="G151" s="19" t="s">
        <v>432</v>
      </c>
      <c r="H151" s="23"/>
      <c r="I151" s="23"/>
      <c r="J151" s="23" t="s">
        <v>555</v>
      </c>
      <c r="K151" s="23">
        <v>40</v>
      </c>
      <c r="L151" s="24">
        <f>$K151/INDEX('Indicator Master'!$N$4:$N$46,MATCH($A151,'Indicator Master'!$A$4:$A$46,0))*'Risk Bands (Config)'!$B$5</f>
        <v>100</v>
      </c>
      <c r="M151" s="23">
        <f>IF($K151=INDEX('Indicator Master'!$N$4:$N$46,MATCH($A151,'Indicator Master'!$A$4:$A$46,0)),1,0)</f>
        <v>1</v>
      </c>
      <c r="N151" s="25"/>
      <c r="O151" s="19" t="s">
        <v>778</v>
      </c>
      <c r="P151" s="19" t="s">
        <v>779</v>
      </c>
      <c r="Q151" s="19" t="s">
        <v>780</v>
      </c>
      <c r="R151" s="26" t="str">
        <f t="shared" si="4"/>
        <v>EWS-038|40</v>
      </c>
    </row>
    <row r="152" spans="1:18" ht="32.25" customHeight="1" x14ac:dyDescent="0.35">
      <c r="A152" s="23" t="s">
        <v>305</v>
      </c>
      <c r="B152" s="19" t="s">
        <v>306</v>
      </c>
      <c r="C152" s="23" t="s">
        <v>30</v>
      </c>
      <c r="D152" s="19" t="s">
        <v>308</v>
      </c>
      <c r="E152" s="23">
        <v>1</v>
      </c>
      <c r="F152" s="19" t="s">
        <v>781</v>
      </c>
      <c r="G152" s="19" t="s">
        <v>432</v>
      </c>
      <c r="H152" s="23"/>
      <c r="I152" s="23"/>
      <c r="J152" s="23" t="s">
        <v>555</v>
      </c>
      <c r="K152" s="23">
        <v>0</v>
      </c>
      <c r="L152" s="24">
        <f>$K152/INDEX('Indicator Master'!$N$4:$N$46,MATCH($A152,'Indicator Master'!$A$4:$A$46,0))*'Risk Bands (Config)'!$B$5</f>
        <v>0</v>
      </c>
      <c r="M152" s="23">
        <f>IF($K152=INDEX('Indicator Master'!$N$4:$N$46,MATCH($A152,'Indicator Master'!$A$4:$A$46,0)),1,0)</f>
        <v>0</v>
      </c>
      <c r="N152" s="25"/>
      <c r="O152" s="19" t="s">
        <v>782</v>
      </c>
      <c r="P152" s="19" t="s">
        <v>370</v>
      </c>
      <c r="Q152" s="19" t="s">
        <v>371</v>
      </c>
      <c r="R152" s="26" t="str">
        <f t="shared" si="4"/>
        <v>EWS-039|0</v>
      </c>
    </row>
    <row r="153" spans="1:18" ht="32.25" customHeight="1" x14ac:dyDescent="0.35">
      <c r="A153" s="23" t="s">
        <v>305</v>
      </c>
      <c r="B153" s="19" t="s">
        <v>306</v>
      </c>
      <c r="C153" s="23" t="s">
        <v>30</v>
      </c>
      <c r="D153" s="19" t="s">
        <v>308</v>
      </c>
      <c r="E153" s="23">
        <v>2</v>
      </c>
      <c r="F153" s="19" t="s">
        <v>783</v>
      </c>
      <c r="G153" s="19" t="s">
        <v>432</v>
      </c>
      <c r="H153" s="23"/>
      <c r="I153" s="23"/>
      <c r="J153" s="23" t="s">
        <v>555</v>
      </c>
      <c r="K153" s="23">
        <v>50</v>
      </c>
      <c r="L153" s="24">
        <f>$K153/INDEX('Indicator Master'!$N$4:$N$46,MATCH($A153,'Indicator Master'!$A$4:$A$46,0))*'Risk Bands (Config)'!$B$5</f>
        <v>100</v>
      </c>
      <c r="M153" s="23">
        <f>IF($K153=INDEX('Indicator Master'!$N$4:$N$46,MATCH($A153,'Indicator Master'!$A$4:$A$46,0)),1,0)</f>
        <v>1</v>
      </c>
      <c r="N153" s="25"/>
      <c r="O153" s="19" t="s">
        <v>784</v>
      </c>
      <c r="P153" s="19" t="s">
        <v>785</v>
      </c>
      <c r="Q153" s="19" t="s">
        <v>786</v>
      </c>
      <c r="R153" s="26" t="str">
        <f t="shared" si="4"/>
        <v>EWS-039|50</v>
      </c>
    </row>
    <row r="154" spans="1:18" ht="32.25" customHeight="1" x14ac:dyDescent="0.35">
      <c r="A154" s="23" t="s">
        <v>313</v>
      </c>
      <c r="B154" s="19" t="s">
        <v>314</v>
      </c>
      <c r="C154" s="23" t="s">
        <v>30</v>
      </c>
      <c r="D154" s="19" t="s">
        <v>316</v>
      </c>
      <c r="E154" s="23">
        <v>1</v>
      </c>
      <c r="F154" s="19" t="s">
        <v>781</v>
      </c>
      <c r="G154" s="19" t="s">
        <v>432</v>
      </c>
      <c r="H154" s="23"/>
      <c r="I154" s="23"/>
      <c r="J154" s="23" t="s">
        <v>555</v>
      </c>
      <c r="K154" s="23">
        <v>0</v>
      </c>
      <c r="L154" s="24">
        <f>$K154/INDEX('Indicator Master'!$N$4:$N$46,MATCH($A154,'Indicator Master'!$A$4:$A$46,0))*'Risk Bands (Config)'!$B$5</f>
        <v>0</v>
      </c>
      <c r="M154" s="23">
        <f>IF($K154=INDEX('Indicator Master'!$N$4:$N$46,MATCH($A154,'Indicator Master'!$A$4:$A$46,0)),1,0)</f>
        <v>0</v>
      </c>
      <c r="N154" s="25"/>
      <c r="O154" s="19" t="s">
        <v>787</v>
      </c>
      <c r="P154" s="19" t="s">
        <v>370</v>
      </c>
      <c r="Q154" s="19" t="s">
        <v>371</v>
      </c>
      <c r="R154" s="26" t="str">
        <f t="shared" si="4"/>
        <v>EWS-040|0</v>
      </c>
    </row>
    <row r="155" spans="1:18" ht="32.25" customHeight="1" x14ac:dyDescent="0.35">
      <c r="A155" s="23" t="s">
        <v>313</v>
      </c>
      <c r="B155" s="19" t="s">
        <v>314</v>
      </c>
      <c r="C155" s="23" t="s">
        <v>30</v>
      </c>
      <c r="D155" s="19" t="s">
        <v>316</v>
      </c>
      <c r="E155" s="23">
        <v>2</v>
      </c>
      <c r="F155" s="19" t="s">
        <v>783</v>
      </c>
      <c r="G155" s="19" t="s">
        <v>432</v>
      </c>
      <c r="H155" s="23"/>
      <c r="I155" s="23"/>
      <c r="J155" s="23" t="s">
        <v>555</v>
      </c>
      <c r="K155" s="23">
        <v>50</v>
      </c>
      <c r="L155" s="24">
        <f>$K155/INDEX('Indicator Master'!$N$4:$N$46,MATCH($A155,'Indicator Master'!$A$4:$A$46,0))*'Risk Bands (Config)'!$B$5</f>
        <v>100</v>
      </c>
      <c r="M155" s="23">
        <f>IF($K155=INDEX('Indicator Master'!$N$4:$N$46,MATCH($A155,'Indicator Master'!$A$4:$A$46,0)),1,0)</f>
        <v>1</v>
      </c>
      <c r="N155" s="25"/>
      <c r="O155" s="19" t="s">
        <v>788</v>
      </c>
      <c r="P155" s="19" t="s">
        <v>789</v>
      </c>
      <c r="Q155" s="19" t="s">
        <v>786</v>
      </c>
      <c r="R155" s="26" t="str">
        <f t="shared" si="4"/>
        <v>EWS-040|50</v>
      </c>
    </row>
    <row r="156" spans="1:18" ht="21.75" customHeight="1" x14ac:dyDescent="0.35">
      <c r="A156" s="23" t="s">
        <v>318</v>
      </c>
      <c r="B156" s="19" t="s">
        <v>319</v>
      </c>
      <c r="C156" s="23" t="s">
        <v>30</v>
      </c>
      <c r="D156" s="19" t="s">
        <v>322</v>
      </c>
      <c r="E156" s="23">
        <v>1</v>
      </c>
      <c r="F156" s="19" t="s">
        <v>790</v>
      </c>
      <c r="G156" s="19" t="s">
        <v>791</v>
      </c>
      <c r="H156" s="23">
        <v>1.25</v>
      </c>
      <c r="I156" s="23">
        <v>1.5</v>
      </c>
      <c r="J156" s="23" t="s">
        <v>389</v>
      </c>
      <c r="K156" s="23">
        <v>0</v>
      </c>
      <c r="L156" s="24">
        <f>$K156/INDEX('Indicator Master'!$N$4:$N$46,MATCH($A156,'Indicator Master'!$A$4:$A$46,0))*'Risk Bands (Config)'!$B$5</f>
        <v>0</v>
      </c>
      <c r="M156" s="23">
        <f>IF($K156=INDEX('Indicator Master'!$N$4:$N$46,MATCH($A156,'Indicator Master'!$A$4:$A$46,0)),1,0)</f>
        <v>0</v>
      </c>
      <c r="N156" s="25"/>
      <c r="O156" s="19" t="s">
        <v>792</v>
      </c>
      <c r="P156" s="19" t="s">
        <v>370</v>
      </c>
      <c r="Q156" s="19" t="s">
        <v>371</v>
      </c>
      <c r="R156" s="26" t="str">
        <f t="shared" si="4"/>
        <v>EWS-041|0</v>
      </c>
    </row>
    <row r="157" spans="1:18" ht="32.25" customHeight="1" x14ac:dyDescent="0.35">
      <c r="A157" s="23" t="s">
        <v>318</v>
      </c>
      <c r="B157" s="19" t="s">
        <v>319</v>
      </c>
      <c r="C157" s="23" t="s">
        <v>30</v>
      </c>
      <c r="D157" s="19" t="s">
        <v>322</v>
      </c>
      <c r="E157" s="23">
        <v>2</v>
      </c>
      <c r="F157" s="19" t="s">
        <v>793</v>
      </c>
      <c r="G157" s="19" t="s">
        <v>794</v>
      </c>
      <c r="H157" s="23"/>
      <c r="I157" s="23">
        <v>1.25</v>
      </c>
      <c r="J157" s="23" t="s">
        <v>368</v>
      </c>
      <c r="K157" s="23">
        <v>40</v>
      </c>
      <c r="L157" s="24">
        <f>$K157/INDEX('Indicator Master'!$N$4:$N$46,MATCH($A157,'Indicator Master'!$A$4:$A$46,0))*'Risk Bands (Config)'!$B$5</f>
        <v>100</v>
      </c>
      <c r="M157" s="23">
        <f>IF($K157=INDEX('Indicator Master'!$N$4:$N$46,MATCH($A157,'Indicator Master'!$A$4:$A$46,0)),1,0)</f>
        <v>1</v>
      </c>
      <c r="N157" s="25"/>
      <c r="O157" s="19" t="s">
        <v>795</v>
      </c>
      <c r="P157" s="19" t="s">
        <v>796</v>
      </c>
      <c r="Q157" s="19" t="s">
        <v>386</v>
      </c>
      <c r="R157" s="26" t="str">
        <f t="shared" si="4"/>
        <v>EWS-041|40</v>
      </c>
    </row>
    <row r="158" spans="1:18" ht="21.75" customHeight="1" x14ac:dyDescent="0.35">
      <c r="A158" s="23" t="s">
        <v>328</v>
      </c>
      <c r="B158" s="19" t="s">
        <v>329</v>
      </c>
      <c r="C158" s="23" t="s">
        <v>30</v>
      </c>
      <c r="D158" s="19" t="s">
        <v>331</v>
      </c>
      <c r="E158" s="23">
        <v>1</v>
      </c>
      <c r="F158" s="19" t="s">
        <v>797</v>
      </c>
      <c r="G158" s="19" t="s">
        <v>794</v>
      </c>
      <c r="H158" s="23"/>
      <c r="I158" s="23">
        <v>2</v>
      </c>
      <c r="J158" s="23" t="s">
        <v>445</v>
      </c>
      <c r="K158" s="23">
        <v>0</v>
      </c>
      <c r="L158" s="24">
        <f>$K158/INDEX('Indicator Master'!$N$4:$N$46,MATCH($A158,'Indicator Master'!$A$4:$A$46,0))*'Risk Bands (Config)'!$B$5</f>
        <v>0</v>
      </c>
      <c r="M158" s="23">
        <f>IF($K158=INDEX('Indicator Master'!$N$4:$N$46,MATCH($A158,'Indicator Master'!$A$4:$A$46,0)),1,0)</f>
        <v>0</v>
      </c>
      <c r="N158" s="25"/>
      <c r="O158" s="19" t="s">
        <v>798</v>
      </c>
      <c r="P158" s="19" t="s">
        <v>370</v>
      </c>
      <c r="Q158" s="19" t="s">
        <v>371</v>
      </c>
      <c r="R158" s="26" t="str">
        <f t="shared" si="4"/>
        <v>EWS-042|0</v>
      </c>
    </row>
    <row r="159" spans="1:18" ht="21.75" customHeight="1" x14ac:dyDescent="0.35">
      <c r="A159" s="23" t="s">
        <v>328</v>
      </c>
      <c r="B159" s="19" t="s">
        <v>329</v>
      </c>
      <c r="C159" s="23" t="s">
        <v>30</v>
      </c>
      <c r="D159" s="19" t="s">
        <v>331</v>
      </c>
      <c r="E159" s="23">
        <v>2</v>
      </c>
      <c r="F159" s="19" t="s">
        <v>799</v>
      </c>
      <c r="G159" s="19" t="s">
        <v>791</v>
      </c>
      <c r="H159" s="23">
        <v>2</v>
      </c>
      <c r="I159" s="23">
        <v>3</v>
      </c>
      <c r="J159" s="23" t="s">
        <v>448</v>
      </c>
      <c r="K159" s="23">
        <v>10</v>
      </c>
      <c r="L159" s="24">
        <f>$K159/INDEX('Indicator Master'!$N$4:$N$46,MATCH($A159,'Indicator Master'!$A$4:$A$46,0))*'Risk Bands (Config)'!$B$5</f>
        <v>25</v>
      </c>
      <c r="M159" s="23">
        <f>IF($K159=INDEX('Indicator Master'!$N$4:$N$46,MATCH($A159,'Indicator Master'!$A$4:$A$46,0)),1,0)</f>
        <v>0</v>
      </c>
      <c r="N159" s="25"/>
      <c r="O159" s="19" t="s">
        <v>800</v>
      </c>
      <c r="P159" s="19" t="s">
        <v>801</v>
      </c>
      <c r="Q159" s="19" t="s">
        <v>411</v>
      </c>
      <c r="R159" s="26" t="str">
        <f t="shared" si="4"/>
        <v>EWS-042|10</v>
      </c>
    </row>
    <row r="160" spans="1:18" ht="21.75" customHeight="1" x14ac:dyDescent="0.35">
      <c r="A160" s="23" t="s">
        <v>328</v>
      </c>
      <c r="B160" s="19" t="s">
        <v>329</v>
      </c>
      <c r="C160" s="23" t="s">
        <v>30</v>
      </c>
      <c r="D160" s="19" t="s">
        <v>331</v>
      </c>
      <c r="E160" s="23">
        <v>3</v>
      </c>
      <c r="F160" s="19" t="s">
        <v>802</v>
      </c>
      <c r="G160" s="19" t="s">
        <v>794</v>
      </c>
      <c r="H160" s="23">
        <v>3</v>
      </c>
      <c r="I160" s="23"/>
      <c r="J160" s="23" t="s">
        <v>416</v>
      </c>
      <c r="K160" s="23">
        <v>40</v>
      </c>
      <c r="L160" s="24">
        <f>$K160/INDEX('Indicator Master'!$N$4:$N$46,MATCH($A160,'Indicator Master'!$A$4:$A$46,0))*'Risk Bands (Config)'!$B$5</f>
        <v>100</v>
      </c>
      <c r="M160" s="23">
        <f>IF($K160=INDEX('Indicator Master'!$N$4:$N$46,MATCH($A160,'Indicator Master'!$A$4:$A$46,0)),1,0)</f>
        <v>1</v>
      </c>
      <c r="N160" s="25"/>
      <c r="O160" s="19" t="s">
        <v>803</v>
      </c>
      <c r="P160" s="19" t="s">
        <v>804</v>
      </c>
      <c r="Q160" s="19" t="s">
        <v>386</v>
      </c>
      <c r="R160" s="26" t="str">
        <f t="shared" si="4"/>
        <v>EWS-042|40</v>
      </c>
    </row>
    <row r="161" spans="1:18" ht="21.75" customHeight="1" x14ac:dyDescent="0.35">
      <c r="A161" s="23" t="s">
        <v>334</v>
      </c>
      <c r="B161" s="19" t="s">
        <v>335</v>
      </c>
      <c r="C161" s="23" t="s">
        <v>30</v>
      </c>
      <c r="D161" s="19" t="s">
        <v>337</v>
      </c>
      <c r="E161" s="23">
        <v>1</v>
      </c>
      <c r="F161" s="19" t="s">
        <v>805</v>
      </c>
      <c r="G161" s="19" t="s">
        <v>794</v>
      </c>
      <c r="H161" s="23">
        <v>1.33</v>
      </c>
      <c r="I161" s="23"/>
      <c r="J161" s="23" t="s">
        <v>398</v>
      </c>
      <c r="K161" s="23">
        <v>0</v>
      </c>
      <c r="L161" s="24">
        <f>$K161/INDEX('Indicator Master'!$N$4:$N$46,MATCH($A161,'Indicator Master'!$A$4:$A$46,0))*'Risk Bands (Config)'!$B$5</f>
        <v>0</v>
      </c>
      <c r="M161" s="23">
        <f>IF($K161=INDEX('Indicator Master'!$N$4:$N$46,MATCH($A161,'Indicator Master'!$A$4:$A$46,0)),1,0)</f>
        <v>0</v>
      </c>
      <c r="N161" s="25"/>
      <c r="O161" s="19" t="s">
        <v>806</v>
      </c>
      <c r="P161" s="19" t="s">
        <v>370</v>
      </c>
      <c r="Q161" s="19" t="s">
        <v>371</v>
      </c>
      <c r="R161" s="26" t="str">
        <f t="shared" si="4"/>
        <v>EWS-043|0</v>
      </c>
    </row>
    <row r="162" spans="1:18" ht="21.75" customHeight="1" x14ac:dyDescent="0.35">
      <c r="A162" s="23" t="s">
        <v>334</v>
      </c>
      <c r="B162" s="19" t="s">
        <v>335</v>
      </c>
      <c r="C162" s="23" t="s">
        <v>30</v>
      </c>
      <c r="D162" s="19" t="s">
        <v>337</v>
      </c>
      <c r="E162" s="23">
        <v>2</v>
      </c>
      <c r="F162" s="19" t="s">
        <v>807</v>
      </c>
      <c r="G162" s="19" t="s">
        <v>791</v>
      </c>
      <c r="H162" s="23">
        <v>1</v>
      </c>
      <c r="I162" s="23">
        <v>1.33</v>
      </c>
      <c r="J162" s="23" t="s">
        <v>374</v>
      </c>
      <c r="K162" s="23">
        <v>10</v>
      </c>
      <c r="L162" s="24">
        <f>$K162/INDEX('Indicator Master'!$N$4:$N$46,MATCH($A162,'Indicator Master'!$A$4:$A$46,0))*'Risk Bands (Config)'!$B$5</f>
        <v>25</v>
      </c>
      <c r="M162" s="23">
        <f>IF($K162=INDEX('Indicator Master'!$N$4:$N$46,MATCH($A162,'Indicator Master'!$A$4:$A$46,0)),1,0)</f>
        <v>0</v>
      </c>
      <c r="N162" s="25"/>
      <c r="O162" s="19" t="s">
        <v>808</v>
      </c>
      <c r="P162" s="19" t="s">
        <v>809</v>
      </c>
      <c r="Q162" s="19" t="s">
        <v>411</v>
      </c>
      <c r="R162" s="26" t="str">
        <f t="shared" si="4"/>
        <v>EWS-043|10</v>
      </c>
    </row>
    <row r="163" spans="1:18" ht="21.75" customHeight="1" x14ac:dyDescent="0.35">
      <c r="A163" s="23" t="s">
        <v>334</v>
      </c>
      <c r="B163" s="19" t="s">
        <v>335</v>
      </c>
      <c r="C163" s="23" t="s">
        <v>30</v>
      </c>
      <c r="D163" s="19" t="s">
        <v>337</v>
      </c>
      <c r="E163" s="23">
        <v>3</v>
      </c>
      <c r="F163" s="19" t="s">
        <v>810</v>
      </c>
      <c r="G163" s="19" t="s">
        <v>794</v>
      </c>
      <c r="H163" s="23"/>
      <c r="I163" s="23">
        <v>1</v>
      </c>
      <c r="J163" s="23" t="s">
        <v>368</v>
      </c>
      <c r="K163" s="23">
        <v>40</v>
      </c>
      <c r="L163" s="24">
        <f>$K163/INDEX('Indicator Master'!$N$4:$N$46,MATCH($A163,'Indicator Master'!$A$4:$A$46,0))*'Risk Bands (Config)'!$B$5</f>
        <v>100</v>
      </c>
      <c r="M163" s="23">
        <f>IF($K163=INDEX('Indicator Master'!$N$4:$N$46,MATCH($A163,'Indicator Master'!$A$4:$A$46,0)),1,0)</f>
        <v>1</v>
      </c>
      <c r="N163" s="25"/>
      <c r="O163" s="19" t="s">
        <v>811</v>
      </c>
      <c r="P163" s="19" t="s">
        <v>812</v>
      </c>
      <c r="Q163" s="19" t="s">
        <v>386</v>
      </c>
      <c r="R163" s="26" t="str">
        <f t="shared" si="4"/>
        <v>EWS-043|40</v>
      </c>
    </row>
  </sheetData>
  <mergeCells count="2">
    <mergeCell ref="A1:R1"/>
    <mergeCell ref="A2:R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8"/>
  <sheetViews>
    <sheetView zoomScaleNormal="100" workbookViewId="0">
      <pane ySplit="22" topLeftCell="A23" activePane="bottomLeft" state="frozen"/>
      <selection pane="bottomLeft"/>
    </sheetView>
  </sheetViews>
  <sheetFormatPr defaultColWidth="8.6328125" defaultRowHeight="14.5" x14ac:dyDescent="0.35"/>
  <cols>
    <col min="1" max="1" width="8" customWidth="1"/>
    <col min="2" max="2" width="26" customWidth="1"/>
    <col min="3" max="3" width="10" customWidth="1"/>
    <col min="4" max="4" width="8" customWidth="1"/>
    <col min="5" max="5" width="9" customWidth="1"/>
    <col min="6" max="6" width="12" customWidth="1"/>
    <col min="7" max="7" width="13" customWidth="1"/>
    <col min="8" max="8" width="32" customWidth="1"/>
    <col min="9" max="10" width="9" customWidth="1"/>
    <col min="11" max="11" width="11" customWidth="1"/>
    <col min="12" max="12" width="9" customWidth="1"/>
    <col min="13" max="13" width="13" hidden="1" customWidth="1"/>
    <col min="14" max="14" width="40" customWidth="1"/>
    <col min="15" max="15" width="54" customWidth="1"/>
    <col min="16" max="16" width="20" customWidth="1"/>
  </cols>
  <sheetData>
    <row r="1" spans="1:16" ht="30" customHeight="1" x14ac:dyDescent="0.35">
      <c r="A1" s="14" t="s">
        <v>813</v>
      </c>
      <c r="B1" s="14"/>
      <c r="C1" s="14"/>
      <c r="D1" s="14"/>
      <c r="E1" s="14"/>
      <c r="F1" s="14"/>
      <c r="G1" s="14"/>
      <c r="H1" s="14"/>
      <c r="I1" s="14"/>
      <c r="J1" s="14"/>
      <c r="K1" s="14"/>
      <c r="L1" s="14"/>
      <c r="M1" s="14"/>
      <c r="N1" s="14"/>
      <c r="O1" s="14"/>
      <c r="P1" s="14"/>
    </row>
    <row r="2" spans="1:16" ht="25.5" customHeight="1" x14ac:dyDescent="0.35">
      <c r="A2" s="13" t="s">
        <v>814</v>
      </c>
      <c r="B2" s="13"/>
      <c r="C2" s="13"/>
      <c r="D2" s="13"/>
      <c r="E2" s="13"/>
      <c r="F2" s="13"/>
      <c r="G2" s="13"/>
      <c r="H2" s="13"/>
      <c r="I2" s="13"/>
      <c r="J2" s="13"/>
      <c r="K2" s="13"/>
      <c r="L2" s="13"/>
      <c r="M2" s="13"/>
      <c r="N2" s="13"/>
      <c r="O2" s="13"/>
      <c r="P2" s="13"/>
    </row>
    <row r="4" spans="1:16" ht="15" customHeight="1" x14ac:dyDescent="0.35">
      <c r="A4" s="27" t="s">
        <v>815</v>
      </c>
      <c r="B4" s="28" t="s">
        <v>816</v>
      </c>
    </row>
    <row r="5" spans="1:16" ht="15" customHeight="1" x14ac:dyDescent="0.35">
      <c r="A5" s="27" t="s">
        <v>817</v>
      </c>
      <c r="B5" s="28" t="s">
        <v>818</v>
      </c>
    </row>
    <row r="7" spans="1:16" ht="15" customHeight="1" x14ac:dyDescent="0.35">
      <c r="A7" s="29" t="s">
        <v>819</v>
      </c>
      <c r="B7" s="30">
        <f>COUNTA($A$23:$A$65)</f>
        <v>43</v>
      </c>
    </row>
    <row r="8" spans="1:16" ht="15" customHeight="1" x14ac:dyDescent="0.35">
      <c r="A8" s="29" t="s">
        <v>820</v>
      </c>
      <c r="B8" s="30">
        <f>COUNTIF($F$23:$F$65,"Y")</f>
        <v>39</v>
      </c>
      <c r="C8" s="9" t="s">
        <v>821</v>
      </c>
      <c r="D8" s="9"/>
      <c r="E8" s="9"/>
      <c r="F8" s="9"/>
      <c r="G8" s="9"/>
      <c r="H8" s="9"/>
      <c r="I8" s="9"/>
      <c r="J8" s="9"/>
      <c r="K8" s="9"/>
      <c r="L8" s="9"/>
      <c r="M8" s="9"/>
      <c r="N8" s="9"/>
      <c r="O8" s="9"/>
      <c r="P8" s="9"/>
    </row>
    <row r="9" spans="1:16" ht="15" customHeight="1" x14ac:dyDescent="0.35">
      <c r="A9" s="29" t="s">
        <v>822</v>
      </c>
      <c r="B9" s="30">
        <f>SUM($J$23:$J$65)</f>
        <v>36</v>
      </c>
      <c r="C9" s="9" t="s">
        <v>823</v>
      </c>
      <c r="D9" s="9"/>
      <c r="E9" s="9"/>
      <c r="F9" s="9"/>
      <c r="G9" s="9"/>
      <c r="H9" s="9"/>
      <c r="I9" s="9"/>
      <c r="J9" s="9"/>
      <c r="K9" s="9"/>
      <c r="L9" s="9"/>
      <c r="M9" s="9"/>
      <c r="N9" s="9"/>
      <c r="O9" s="9"/>
      <c r="P9" s="9"/>
    </row>
    <row r="10" spans="1:16" ht="15" customHeight="1" x14ac:dyDescent="0.35">
      <c r="A10" s="29" t="s">
        <v>824</v>
      </c>
      <c r="B10" s="30">
        <f>COUNTIFS($F$23:$F$65,"Y",$G$23:$G$65,"N")</f>
        <v>3</v>
      </c>
      <c r="C10" s="9" t="s">
        <v>825</v>
      </c>
      <c r="D10" s="9"/>
      <c r="E10" s="9"/>
      <c r="F10" s="9"/>
      <c r="G10" s="9"/>
      <c r="H10" s="9"/>
      <c r="I10" s="9"/>
      <c r="J10" s="9"/>
      <c r="K10" s="9"/>
      <c r="L10" s="9"/>
      <c r="M10" s="9"/>
      <c r="N10" s="9"/>
      <c r="O10" s="9"/>
      <c r="P10" s="9"/>
    </row>
    <row r="11" spans="1:16" ht="15" customHeight="1" x14ac:dyDescent="0.35">
      <c r="A11" s="29" t="s">
        <v>826</v>
      </c>
      <c r="B11" s="30">
        <f>COUNTIF($F$23:$F$65,"N")</f>
        <v>4</v>
      </c>
    </row>
    <row r="12" spans="1:16" ht="15" customHeight="1" x14ac:dyDescent="0.35">
      <c r="A12" s="29" t="s">
        <v>827</v>
      </c>
      <c r="B12" s="31">
        <f>IF(B8=0,0,B9/B8*100)</f>
        <v>92.307692307692307</v>
      </c>
      <c r="C12" s="9" t="s">
        <v>828</v>
      </c>
      <c r="D12" s="9"/>
      <c r="E12" s="9"/>
      <c r="F12" s="9"/>
      <c r="G12" s="9"/>
      <c r="H12" s="9"/>
      <c r="I12" s="9"/>
      <c r="J12" s="9"/>
      <c r="K12" s="9"/>
      <c r="L12" s="9"/>
      <c r="M12" s="9"/>
      <c r="N12" s="9"/>
      <c r="O12" s="9"/>
      <c r="P12" s="9"/>
    </row>
    <row r="13" spans="1:16" ht="15" customHeight="1" x14ac:dyDescent="0.35">
      <c r="A13" s="29" t="s">
        <v>829</v>
      </c>
      <c r="B13" s="32">
        <f>SUM($K$23:$K$65)</f>
        <v>1020.8333333333333</v>
      </c>
    </row>
    <row r="14" spans="1:16" ht="15" customHeight="1" x14ac:dyDescent="0.35">
      <c r="A14" s="29" t="s">
        <v>830</v>
      </c>
      <c r="B14" s="33">
        <f>IF(B9=0,0,B13/B9)</f>
        <v>28.356481481481481</v>
      </c>
      <c r="C14" s="9" t="s">
        <v>831</v>
      </c>
      <c r="D14" s="9"/>
      <c r="E14" s="9"/>
      <c r="F14" s="9"/>
      <c r="G14" s="9"/>
      <c r="H14" s="9"/>
      <c r="I14" s="9"/>
      <c r="J14" s="9"/>
      <c r="K14" s="9"/>
      <c r="L14" s="9"/>
      <c r="M14" s="9"/>
      <c r="N14" s="9"/>
      <c r="O14" s="9"/>
      <c r="P14" s="9"/>
    </row>
    <row r="15" spans="1:16" ht="15" customHeight="1" x14ac:dyDescent="0.35">
      <c r="A15" s="29" t="s">
        <v>832</v>
      </c>
      <c r="B15" s="30" t="str">
        <f>INDEX('Risk Bands (Config)'!$A$9:$A$13,MATCH(B14,'Risk Bands (Config)'!$D$9:$D$13,1))</f>
        <v>Yellow</v>
      </c>
      <c r="C15" s="9" t="s">
        <v>833</v>
      </c>
      <c r="D15" s="9"/>
      <c r="E15" s="9"/>
      <c r="F15" s="9"/>
      <c r="G15" s="9"/>
      <c r="H15" s="9"/>
      <c r="I15" s="9"/>
      <c r="J15" s="9"/>
      <c r="K15" s="9"/>
      <c r="L15" s="9"/>
      <c r="M15" s="9"/>
      <c r="N15" s="9"/>
      <c r="O15" s="9"/>
      <c r="P15" s="9"/>
    </row>
    <row r="16" spans="1:16" ht="15" customHeight="1" x14ac:dyDescent="0.35">
      <c r="A16" s="29" t="s">
        <v>834</v>
      </c>
      <c r="B16" s="34" t="str">
        <f>IF(SUM($L$23:$L$65)+SUM($F$74:$F$76)&gt;0,"YES","NO")</f>
        <v>YES</v>
      </c>
      <c r="C16" s="9" t="s">
        <v>835</v>
      </c>
      <c r="D16" s="9"/>
      <c r="E16" s="9"/>
      <c r="F16" s="9"/>
      <c r="G16" s="9"/>
      <c r="H16" s="9"/>
      <c r="I16" s="9"/>
      <c r="J16" s="9"/>
      <c r="K16" s="9"/>
      <c r="L16" s="9"/>
      <c r="M16" s="9"/>
      <c r="N16" s="9"/>
      <c r="O16" s="9"/>
      <c r="P16" s="9"/>
    </row>
    <row r="17" spans="1:16" ht="15" customHeight="1" x14ac:dyDescent="0.35">
      <c r="A17" s="27" t="s">
        <v>836</v>
      </c>
      <c r="B17" s="34" t="str">
        <f>$M$65</f>
        <v>EWS-026</v>
      </c>
    </row>
    <row r="18" spans="1:16" ht="15" customHeight="1" x14ac:dyDescent="0.35">
      <c r="A18" s="29" t="s">
        <v>837</v>
      </c>
      <c r="B18" s="35" t="str">
        <f>IF(B16="YES","CRITICAL (Override)",IF(B12&lt;'Risk Bands (Config)'!$B$16,"INSUFFICIENT DATA (band: "&amp;B15&amp;")",B15))</f>
        <v>CRITICAL (Override)</v>
      </c>
    </row>
    <row r="19" spans="1:16" ht="15" customHeight="1" x14ac:dyDescent="0.35">
      <c r="A19" s="29" t="s">
        <v>838</v>
      </c>
      <c r="B19" s="30" t="str">
        <f>IF(B16="YES",INDEX('Risk Bands (Config)'!$E$9:$E$13,5),IF(B12&lt;'Risk Bands (Config)'!$B$16,"Low data coverage — treat score as low-confidence; obtain missing data before acting.",INDEX('Risk Bands (Config)'!$E$9:$E$13,MATCH(B14,'Risk Bands (Config)'!$D$9:$D$13,1))))</f>
        <v>Severe EWS / Immediate Intervention</v>
      </c>
    </row>
    <row r="20" spans="1:16" ht="15" customHeight="1" x14ac:dyDescent="0.35">
      <c r="A20" s="8" t="s">
        <v>839</v>
      </c>
      <c r="B20" s="8"/>
      <c r="C20" s="8"/>
      <c r="D20" s="8"/>
      <c r="E20" s="8"/>
      <c r="F20" s="8"/>
      <c r="G20" s="8"/>
      <c r="H20" s="8"/>
      <c r="I20" s="8"/>
      <c r="J20" s="8"/>
      <c r="K20" s="8"/>
      <c r="L20" s="8"/>
      <c r="M20" s="8"/>
      <c r="N20" s="8"/>
      <c r="O20" s="8"/>
      <c r="P20" s="8"/>
    </row>
    <row r="22" spans="1:16" ht="39.75" customHeight="1" x14ac:dyDescent="0.35">
      <c r="A22" s="36" t="s">
        <v>15</v>
      </c>
      <c r="B22" s="36" t="s">
        <v>17</v>
      </c>
      <c r="C22" s="36" t="s">
        <v>16</v>
      </c>
      <c r="D22" s="36" t="s">
        <v>840</v>
      </c>
      <c r="E22" s="36" t="s">
        <v>28</v>
      </c>
      <c r="F22" s="36" t="s">
        <v>841</v>
      </c>
      <c r="G22" s="36" t="s">
        <v>842</v>
      </c>
      <c r="H22" s="36" t="s">
        <v>843</v>
      </c>
      <c r="I22" s="36" t="s">
        <v>358</v>
      </c>
      <c r="J22" s="36" t="s">
        <v>844</v>
      </c>
      <c r="K22" s="36" t="s">
        <v>845</v>
      </c>
      <c r="L22" s="36" t="s">
        <v>846</v>
      </c>
      <c r="M22" s="36" t="s">
        <v>847</v>
      </c>
      <c r="N22" s="36" t="s">
        <v>362</v>
      </c>
      <c r="O22" s="36" t="s">
        <v>363</v>
      </c>
      <c r="P22" s="36" t="s">
        <v>364</v>
      </c>
    </row>
    <row r="23" spans="1:16" ht="60" customHeight="1" x14ac:dyDescent="0.35">
      <c r="A23" s="22" t="s">
        <v>29</v>
      </c>
      <c r="B23" s="19" t="s">
        <v>31</v>
      </c>
      <c r="C23" s="18" t="s">
        <v>30</v>
      </c>
      <c r="D23" s="23" t="str">
        <f>INDEX('Indicator Master'!$F$4:$F$46,MATCH($A23,'Indicator Master'!$A$4:$A$46,0))</f>
        <v>No</v>
      </c>
      <c r="E23" s="22">
        <f>INDEX('Indicator Master'!$N$4:$N$46,MATCH($A23,'Indicator Master'!$A$4:$A$46,0))</f>
        <v>30</v>
      </c>
      <c r="F23" s="37" t="s">
        <v>848</v>
      </c>
      <c r="G23" s="37" t="s">
        <v>848</v>
      </c>
      <c r="H23" s="38" t="s">
        <v>849</v>
      </c>
      <c r="I23" s="37">
        <v>30</v>
      </c>
      <c r="J23" s="23">
        <f t="shared" ref="J23:J65" si="0">IF(AND($F23="Y",$G23="Y",ISNUMBER($I23)),1,0)</f>
        <v>1</v>
      </c>
      <c r="K23" s="39">
        <f>IF($J23=1,$I23/$E23*'Risk Bands (Config)'!$B$5,"")</f>
        <v>100</v>
      </c>
      <c r="L23" s="23">
        <f>IF(AND($D23="Yes",$J23=1,$I23/$E23*'Risk Bands (Config)'!$B$5&gt;='Risk Bands (Config)'!$B$6),1,0)</f>
        <v>0</v>
      </c>
      <c r="M23" s="40" t="str">
        <f>IF($L23=1,$A23,"")</f>
        <v/>
      </c>
      <c r="N23" s="19" t="str">
        <f>IF($J23=1,IFERROR(INDEX('Scoring Engine (Rules)'!$O$5:$O$163,MATCH($A23&amp;"|"&amp;$I23,'Scoring Engine (Rules)'!$R$5:$R$163,0)),""),"")</f>
        <v>Severe / critical — utilisation above 95% for 30+ days; chronic over-reliance — possible inability to rotate WC, or diversion/ever-greening.</v>
      </c>
      <c r="O23" s="19" t="str">
        <f>IF($J23=1,IFERROR(INDEX('Scoring Engine (Rules)'!$P$5:$P$163,MATCH($A23&amp;"|"&amp;$I23,'Scoring Engine (Rules)'!$R$5:$R$163,0)),""),"")</f>
        <v>1) Restrict fresh drawals pending review. 2) Investigate diversion (routing gaps, ad-hoc pattern). 3) Full viability / limit-rationalisation review; escalate to Credit.</v>
      </c>
      <c r="P23" s="19" t="str">
        <f>IF($J23=1,IFERROR(INDEX('Scoring Engine (Rules)'!$Q$5:$Q$163,MATCH($A23&amp;"|"&amp;$I23,'Scoring Engine (Rules)'!$R$5:$R$163,0)),""),"")</f>
        <v>Credit Head / Risk</v>
      </c>
    </row>
    <row r="24" spans="1:16" ht="60" customHeight="1" x14ac:dyDescent="0.35">
      <c r="A24" s="22" t="s">
        <v>42</v>
      </c>
      <c r="B24" s="19" t="s">
        <v>43</v>
      </c>
      <c r="C24" s="18" t="s">
        <v>30</v>
      </c>
      <c r="D24" s="23" t="str">
        <f>INDEX('Indicator Master'!$F$4:$F$46,MATCH($A24,'Indicator Master'!$A$4:$A$46,0))</f>
        <v>No</v>
      </c>
      <c r="E24" s="22">
        <f>INDEX('Indicator Master'!$N$4:$N$46,MATCH($A24,'Indicator Master'!$A$4:$A$46,0))</f>
        <v>30</v>
      </c>
      <c r="F24" s="37" t="s">
        <v>848</v>
      </c>
      <c r="G24" s="37" t="s">
        <v>848</v>
      </c>
      <c r="H24" s="38" t="s">
        <v>850</v>
      </c>
      <c r="I24" s="37">
        <v>10</v>
      </c>
      <c r="J24" s="23">
        <f t="shared" si="0"/>
        <v>1</v>
      </c>
      <c r="K24" s="39">
        <f>IF($J24=1,$I24/$E24*'Risk Bands (Config)'!$B$5,"")</f>
        <v>33.333333333333329</v>
      </c>
      <c r="L24" s="23">
        <f>IF(AND($D24="Yes",$J24=1,$I24/$E24*'Risk Bands (Config)'!$B$5&gt;='Risk Bands (Config)'!$B$6),1,0)</f>
        <v>0</v>
      </c>
      <c r="M24" s="40" t="str">
        <f t="shared" ref="M24:M65" si="1">$M23&amp;IF($L24=1,IF($M23="","",", ")&amp;$A24,"")</f>
        <v/>
      </c>
      <c r="N24" s="19" t="str">
        <f>IF($J24=1,IFERROR(INDEX('Scoring Engine (Rules)'!$O$5:$O$163,MATCH($A24&amp;"|"&amp;$I24,'Scoring Engine (Rules)'!$R$5:$R$163,0)),""),"")</f>
        <v>Early warning — two ad-hoc requests; occasional cash-flow mismatch.</v>
      </c>
      <c r="O24" s="19" t="str">
        <f>IF($J24=1,IFERROR(INDEX('Scoring Engine (Rules)'!$P$5:$P$163,MATCH($A24&amp;"|"&amp;$I24,'Scoring Engine (Rules)'!$R$5:$R$163,0)),""),"")</f>
        <v>1) Ascertain the reason for each request. 2) Check whether permanent WC is under-assessed. 3) Grant only against a documented need.</v>
      </c>
      <c r="P24" s="19" t="str">
        <f>IF($J24=1,IFERROR(INDEX('Scoring Engine (Rules)'!$Q$5:$Q$163,MATCH($A24&amp;"|"&amp;$I24,'Scoring Engine (Rules)'!$R$5:$R$163,0)),""),"")</f>
        <v>RM + Credit Analyst</v>
      </c>
    </row>
    <row r="25" spans="1:16" ht="60" customHeight="1" x14ac:dyDescent="0.35">
      <c r="A25" s="22" t="s">
        <v>50</v>
      </c>
      <c r="B25" s="19" t="s">
        <v>51</v>
      </c>
      <c r="C25" s="18" t="s">
        <v>30</v>
      </c>
      <c r="D25" s="23" t="str">
        <f>INDEX('Indicator Master'!$F$4:$F$46,MATCH($A25,'Indicator Master'!$A$4:$A$46,0))</f>
        <v>Yes</v>
      </c>
      <c r="E25" s="22">
        <f>INDEX('Indicator Master'!$N$4:$N$46,MATCH($A25,'Indicator Master'!$A$4:$A$46,0))</f>
        <v>35</v>
      </c>
      <c r="F25" s="37" t="s">
        <v>848</v>
      </c>
      <c r="G25" s="37" t="s">
        <v>848</v>
      </c>
      <c r="H25" s="38" t="s">
        <v>851</v>
      </c>
      <c r="I25" s="37">
        <v>20</v>
      </c>
      <c r="J25" s="23">
        <f t="shared" si="0"/>
        <v>1</v>
      </c>
      <c r="K25" s="39">
        <f>IF($J25=1,$I25/$E25*'Risk Bands (Config)'!$B$5,"")</f>
        <v>57.142857142857139</v>
      </c>
      <c r="L25" s="23">
        <f>IF(AND($D25="Yes",$J25=1,$I25/$E25*'Risk Bands (Config)'!$B$5&gt;='Risk Bands (Config)'!$B$6),1,0)</f>
        <v>0</v>
      </c>
      <c r="M25" s="40" t="str">
        <f t="shared" si="1"/>
        <v/>
      </c>
      <c r="N25" s="19" t="str">
        <f>IF($J25=1,IFERROR(INDEX('Scoring Engine (Rules)'!$O$5:$O$163,MATCH($A25&amp;"|"&amp;$I25,'Scoring Engine (Rules)'!$R$5:$R$163,0)),""),"")</f>
        <v>Elevated concern — credits down 20–40%; material drop — genuine sales fall or turnover being diverted elsewhere.</v>
      </c>
      <c r="O25" s="19" t="str">
        <f>IF($J25=1,IFERROR(INDEX('Scoring Engine (Rules)'!$P$5:$P$163,MATCH($A25&amp;"|"&amp;$I25,'Scoring Engine (Rules)'!$R$5:$R$163,0)),""),"")</f>
        <v>1) Stipulate proportionate turnover routing through the bank. 2) Verify sales via GST returns. 3) Monitor monthly credits vs sales.</v>
      </c>
      <c r="P25" s="19" t="str">
        <f>IF($J25=1,IFERROR(INDEX('Scoring Engine (Rules)'!$Q$5:$Q$163,MATCH($A25&amp;"|"&amp;$I25,'Scoring Engine (Rules)'!$R$5:$R$163,0)),""),"")</f>
        <v>RM + Credit Analyst</v>
      </c>
    </row>
    <row r="26" spans="1:16" ht="60" customHeight="1" x14ac:dyDescent="0.35">
      <c r="A26" s="22" t="s">
        <v>58</v>
      </c>
      <c r="B26" s="19" t="s">
        <v>59</v>
      </c>
      <c r="C26" s="18" t="s">
        <v>30</v>
      </c>
      <c r="D26" s="23" t="str">
        <f>INDEX('Indicator Master'!$F$4:$F$46,MATCH($A26,'Indicator Master'!$A$4:$A$46,0))</f>
        <v>No</v>
      </c>
      <c r="E26" s="22">
        <f>INDEX('Indicator Master'!$N$4:$N$46,MATCH($A26,'Indicator Master'!$A$4:$A$46,0))</f>
        <v>25</v>
      </c>
      <c r="F26" s="37" t="s">
        <v>848</v>
      </c>
      <c r="G26" s="37" t="s">
        <v>848</v>
      </c>
      <c r="H26" s="38" t="s">
        <v>852</v>
      </c>
      <c r="I26" s="37">
        <v>5</v>
      </c>
      <c r="J26" s="23">
        <f t="shared" si="0"/>
        <v>1</v>
      </c>
      <c r="K26" s="39">
        <f>IF($J26=1,$I26/$E26*'Risk Bands (Config)'!$B$5,"")</f>
        <v>20</v>
      </c>
      <c r="L26" s="23">
        <f>IF(AND($D26="Yes",$J26=1,$I26/$E26*'Risk Bands (Config)'!$B$5&gt;='Risk Bands (Config)'!$B$6),1,0)</f>
        <v>0</v>
      </c>
      <c r="M26" s="40" t="str">
        <f t="shared" si="1"/>
        <v/>
      </c>
      <c r="N26" s="19" t="str">
        <f>IF($J26=1,IFERROR(INDEX('Scoring Engine (Rules)'!$O$5:$O$163,MATCH($A26&amp;"|"&amp;$I26,'Scoring Engine (Rules)'!$R$5:$R$163,0)),""),"")</f>
        <v>Early warning — one conduct event; isolated slip, likely a timing mismatch.</v>
      </c>
      <c r="O26" s="19" t="str">
        <f>IF($J26=1,IFERROR(INDEX('Scoring Engine (Rules)'!$P$5:$P$163,MATCH($A26&amp;"|"&amp;$I26,'Scoring Engine (Rules)'!$R$5:$R$163,0)),""),"")</f>
        <v>1) Note the event and reason. 2) Caution the borrower informally. 3) Watch the next cycle.</v>
      </c>
      <c r="P26" s="19" t="str">
        <f>IF($J26=1,IFERROR(INDEX('Scoring Engine (Rules)'!$Q$5:$Q$163,MATCH($A26&amp;"|"&amp;$I26,'Scoring Engine (Rules)'!$R$5:$R$163,0)),""),"")</f>
        <v>Relationship Manager (Branch)</v>
      </c>
    </row>
    <row r="27" spans="1:16" ht="60" customHeight="1" x14ac:dyDescent="0.35">
      <c r="A27" s="22" t="s">
        <v>64</v>
      </c>
      <c r="B27" s="19" t="s">
        <v>65</v>
      </c>
      <c r="C27" s="18" t="s">
        <v>30</v>
      </c>
      <c r="D27" s="23" t="str">
        <f>INDEX('Indicator Master'!$F$4:$F$46,MATCH($A27,'Indicator Master'!$A$4:$A$46,0))</f>
        <v>No</v>
      </c>
      <c r="E27" s="22">
        <f>INDEX('Indicator Master'!$N$4:$N$46,MATCH($A27,'Indicator Master'!$A$4:$A$46,0))</f>
        <v>40</v>
      </c>
      <c r="F27" s="37" t="s">
        <v>848</v>
      </c>
      <c r="G27" s="37" t="s">
        <v>848</v>
      </c>
      <c r="H27" s="38" t="s">
        <v>853</v>
      </c>
      <c r="I27" s="37">
        <v>0</v>
      </c>
      <c r="J27" s="23">
        <f t="shared" si="0"/>
        <v>1</v>
      </c>
      <c r="K27" s="39">
        <f>IF($J27=1,$I27/$E27*'Risk Bands (Config)'!$B$5,"")</f>
        <v>0</v>
      </c>
      <c r="L27" s="23">
        <f>IF(AND($D27="Yes",$J27=1,$I27/$E27*'Risk Bands (Config)'!$B$5&gt;='Risk Bands (Config)'!$B$6),1,0)</f>
        <v>0</v>
      </c>
      <c r="M27" s="40" t="str">
        <f t="shared" si="1"/>
        <v/>
      </c>
      <c r="N27" s="19" t="str">
        <f>IF($J27=1,IFERROR(INDEX('Scoring Engine (Rules)'!$O$5:$O$163,MATCH($A27&amp;"|"&amp;$I27,'Scoring Engine (Rules)'!$R$5:$R$163,0)),""),"")</f>
        <v>Normal — repayments from the borrower's own operating cash flows; healthy.</v>
      </c>
      <c r="O27" s="19" t="str">
        <f>IF($J27=1,IFERROR(INDEX('Scoring Engine (Rules)'!$P$5:$P$163,MATCH($A27&amp;"|"&amp;$I27,'Scoring Engine (Rules)'!$R$5:$R$163,0)),""),"")</f>
        <v>No remedial action required. Continue routine monitoring at the standard review cycle and record the reading.</v>
      </c>
      <c r="P27" s="19" t="str">
        <f>IF($J27=1,IFERROR(INDEX('Scoring Engine (Rules)'!$Q$5:$Q$163,MATCH($A27&amp;"|"&amp;$I27,'Scoring Engine (Rules)'!$R$5:$R$163,0)),""),"")</f>
        <v>RM (routine)</v>
      </c>
    </row>
    <row r="28" spans="1:16" ht="60" customHeight="1" x14ac:dyDescent="0.35">
      <c r="A28" s="22" t="s">
        <v>71</v>
      </c>
      <c r="B28" s="19" t="s">
        <v>72</v>
      </c>
      <c r="C28" s="18" t="s">
        <v>30</v>
      </c>
      <c r="D28" s="23" t="str">
        <f>INDEX('Indicator Master'!$F$4:$F$46,MATCH($A28,'Indicator Master'!$A$4:$A$46,0))</f>
        <v>No</v>
      </c>
      <c r="E28" s="22">
        <f>INDEX('Indicator Master'!$N$4:$N$46,MATCH($A28,'Indicator Master'!$A$4:$A$46,0))</f>
        <v>30</v>
      </c>
      <c r="F28" s="37" t="s">
        <v>848</v>
      </c>
      <c r="G28" s="37" t="s">
        <v>848</v>
      </c>
      <c r="H28" s="38" t="s">
        <v>854</v>
      </c>
      <c r="I28" s="37">
        <v>10</v>
      </c>
      <c r="J28" s="23">
        <f t="shared" si="0"/>
        <v>1</v>
      </c>
      <c r="K28" s="39">
        <f>IF($J28=1,$I28/$E28*'Risk Bands (Config)'!$B$5,"")</f>
        <v>33.333333333333329</v>
      </c>
      <c r="L28" s="23">
        <f>IF(AND($D28="Yes",$J28=1,$I28/$E28*'Risk Bands (Config)'!$B$5&gt;='Risk Bands (Config)'!$B$6),1,0)</f>
        <v>0</v>
      </c>
      <c r="M28" s="40" t="str">
        <f t="shared" si="1"/>
        <v/>
      </c>
      <c r="N28" s="19" t="str">
        <f>IF($J28=1,IFERROR(INDEX('Scoring Engine (Rules)'!$O$5:$O$163,MATCH($A28&amp;"|"&amp;$I28,'Scoring Engine (Rules)'!$R$5:$R$163,0)),""),"")</f>
        <v>Early warning — up to 10% variance; minor reconciliation gap, likely timing or method.</v>
      </c>
      <c r="O28" s="19" t="str">
        <f>IF($J28=1,IFERROR(INDEX('Scoring Engine (Rules)'!$P$5:$P$163,MATCH($A28&amp;"|"&amp;$I28,'Scoring Engine (Rules)'!$R$5:$R$163,0)),""),"")</f>
        <v>1) Reconcile the statement to audited figures. 2) Seek clarification on the small gap.</v>
      </c>
      <c r="P28" s="19" t="str">
        <f>IF($J28=1,IFERROR(INDEX('Scoring Engine (Rules)'!$Q$5:$Q$163,MATCH($A28&amp;"|"&amp;$I28,'Scoring Engine (Rules)'!$R$5:$R$163,0)),""),"")</f>
        <v>RM + Credit Analyst</v>
      </c>
    </row>
    <row r="29" spans="1:16" ht="60" customHeight="1" x14ac:dyDescent="0.35">
      <c r="A29" s="22" t="s">
        <v>81</v>
      </c>
      <c r="B29" s="19" t="s">
        <v>82</v>
      </c>
      <c r="C29" s="18" t="s">
        <v>30</v>
      </c>
      <c r="D29" s="23" t="str">
        <f>INDEX('Indicator Master'!$F$4:$F$46,MATCH($A29,'Indicator Master'!$A$4:$A$46,0))</f>
        <v>Yes</v>
      </c>
      <c r="E29" s="22">
        <f>INDEX('Indicator Master'!$N$4:$N$46,MATCH($A29,'Indicator Master'!$A$4:$A$46,0))</f>
        <v>35</v>
      </c>
      <c r="F29" s="37" t="s">
        <v>848</v>
      </c>
      <c r="G29" s="37" t="s">
        <v>848</v>
      </c>
      <c r="H29" s="38" t="s">
        <v>855</v>
      </c>
      <c r="I29" s="37">
        <v>20</v>
      </c>
      <c r="J29" s="23">
        <f t="shared" si="0"/>
        <v>1</v>
      </c>
      <c r="K29" s="39">
        <f>IF($J29=1,$I29/$E29*'Risk Bands (Config)'!$B$5,"")</f>
        <v>57.142857142857139</v>
      </c>
      <c r="L29" s="23">
        <f>IF(AND($D29="Yes",$J29=1,$I29/$E29*'Risk Bands (Config)'!$B$5&gt;='Risk Bands (Config)'!$B$6),1,0)</f>
        <v>0</v>
      </c>
      <c r="M29" s="40" t="str">
        <f t="shared" si="1"/>
        <v/>
      </c>
      <c r="N29" s="19" t="str">
        <f>IF($J29=1,IFERROR(INDEX('Scoring Engine (Rules)'!$O$5:$O$163,MATCH($A29&amp;"|"&amp;$I29,'Scoring Engine (Rules)'!$R$5:$R$163,0)),""),"")</f>
        <v>Elevated concern — turnover down 20–40%; a genuine downturn or loss of key customers.</v>
      </c>
      <c r="O29" s="19" t="str">
        <f>IF($J29=1,IFERROR(INDEX('Scoring Engine (Rules)'!$P$5:$P$163,MATCH($A29&amp;"|"&amp;$I29,'Scoring Engine (Rules)'!$R$5:$R$163,0)),""),"")</f>
        <v>1) Reassess repayment capacity and viability with a sensitivity run. 2) Consider whether restructuring is needed. 3) Escalate to Credit.</v>
      </c>
      <c r="P29" s="19" t="str">
        <f>IF($J29=1,IFERROR(INDEX('Scoring Engine (Rules)'!$Q$5:$Q$163,MATCH($A29&amp;"|"&amp;$I29,'Scoring Engine (Rules)'!$R$5:$R$163,0)),""),"")</f>
        <v>RM + Credit Analyst</v>
      </c>
    </row>
    <row r="30" spans="1:16" ht="60" customHeight="1" x14ac:dyDescent="0.35">
      <c r="A30" s="22" t="s">
        <v>87</v>
      </c>
      <c r="B30" s="19" t="s">
        <v>88</v>
      </c>
      <c r="C30" s="18" t="s">
        <v>30</v>
      </c>
      <c r="D30" s="23" t="str">
        <f>INDEX('Indicator Master'!$F$4:$F$46,MATCH($A30,'Indicator Master'!$A$4:$A$46,0))</f>
        <v>No</v>
      </c>
      <c r="E30" s="22">
        <f>INDEX('Indicator Master'!$N$4:$N$46,MATCH($A30,'Indicator Master'!$A$4:$A$46,0))</f>
        <v>35</v>
      </c>
      <c r="F30" s="37" t="s">
        <v>848</v>
      </c>
      <c r="G30" s="37" t="s">
        <v>848</v>
      </c>
      <c r="H30" s="38" t="s">
        <v>856</v>
      </c>
      <c r="I30" s="37">
        <v>10</v>
      </c>
      <c r="J30" s="23">
        <f t="shared" si="0"/>
        <v>1</v>
      </c>
      <c r="K30" s="39">
        <f>IF($J30=1,$I30/$E30*'Risk Bands (Config)'!$B$5,"")</f>
        <v>28.571428571428569</v>
      </c>
      <c r="L30" s="23">
        <f>IF(AND($D30="Yes",$J30=1,$I30/$E30*'Risk Bands (Config)'!$B$5&gt;='Risk Bands (Config)'!$B$6),1,0)</f>
        <v>0</v>
      </c>
      <c r="M30" s="40" t="str">
        <f t="shared" si="1"/>
        <v/>
      </c>
      <c r="N30" s="19" t="str">
        <f>IF($J30=1,IFERROR(INDEX('Scoring Engine (Rules)'!$O$5:$O$163,MATCH($A30&amp;"|"&amp;$I30,'Scoring Engine (Rules)'!$R$5:$R$163,0)),""),"")</f>
        <v>Early warning — margin fell 10–20%; cost inflation or pricing pressure beginning.</v>
      </c>
      <c r="O30" s="19" t="str">
        <f>IF($J30=1,IFERROR(INDEX('Scoring Engine (Rules)'!$P$5:$P$163,MATCH($A30&amp;"|"&amp;$I30,'Scoring Engine (Rules)'!$R$5:$R$163,0)),""),"")</f>
        <v>1) Analyse cost vs price drivers. 2) Reassess DSCR on updated numbers. 3) Monitor.</v>
      </c>
      <c r="P30" s="19" t="str">
        <f>IF($J30=1,IFERROR(INDEX('Scoring Engine (Rules)'!$Q$5:$Q$163,MATCH($A30&amp;"|"&amp;$I30,'Scoring Engine (Rules)'!$R$5:$R$163,0)),""),"")</f>
        <v>Relationship Manager (Branch)</v>
      </c>
    </row>
    <row r="31" spans="1:16" ht="60" customHeight="1" x14ac:dyDescent="0.35">
      <c r="A31" s="22" t="s">
        <v>92</v>
      </c>
      <c r="B31" s="19" t="s">
        <v>93</v>
      </c>
      <c r="C31" s="18" t="s">
        <v>30</v>
      </c>
      <c r="D31" s="23" t="str">
        <f>INDEX('Indicator Master'!$F$4:$F$46,MATCH($A31,'Indicator Master'!$A$4:$A$46,0))</f>
        <v>No</v>
      </c>
      <c r="E31" s="22">
        <f>INDEX('Indicator Master'!$N$4:$N$46,MATCH($A31,'Indicator Master'!$A$4:$A$46,0))</f>
        <v>30</v>
      </c>
      <c r="F31" s="37" t="s">
        <v>848</v>
      </c>
      <c r="G31" s="37" t="s">
        <v>848</v>
      </c>
      <c r="H31" s="38" t="s">
        <v>857</v>
      </c>
      <c r="I31" s="37">
        <v>20</v>
      </c>
      <c r="J31" s="23">
        <f t="shared" si="0"/>
        <v>1</v>
      </c>
      <c r="K31" s="39">
        <f>IF($J31=1,$I31/$E31*'Risk Bands (Config)'!$B$5,"")</f>
        <v>66.666666666666657</v>
      </c>
      <c r="L31" s="23">
        <f>IF(AND($D31="Yes",$J31=1,$I31/$E31*'Risk Bands (Config)'!$B$5&gt;='Risk Bands (Config)'!$B$6),1,0)</f>
        <v>0</v>
      </c>
      <c r="M31" s="40" t="str">
        <f t="shared" si="1"/>
        <v/>
      </c>
      <c r="N31" s="19" t="str">
        <f>IF($J31=1,IFERROR(INDEX('Scoring Engine (Rules)'!$O$5:$O$163,MATCH($A31&amp;"|"&amp;$I31,'Scoring Engine (Rules)'!$R$5:$R$163,0)),""),"")</f>
        <v>Elevated concern — debtor days +30–60; material tie-up of working capital in receivables.</v>
      </c>
      <c r="O31" s="19" t="str">
        <f>IF($J31=1,IFERROR(INDEX('Scoring Engine (Rules)'!$P$5:$P$163,MATCH($A31&amp;"|"&amp;$I31,'Scoring Engine (Rules)'!$R$5:$R$163,0)),""),"")</f>
        <v>1) Order a receivables audit. 2) Exclude &gt;90-day receivables from DP. 3) Monitor monthly.</v>
      </c>
      <c r="P31" s="19" t="str">
        <f>IF($J31=1,IFERROR(INDEX('Scoring Engine (Rules)'!$Q$5:$Q$163,MATCH($A31&amp;"|"&amp;$I31,'Scoring Engine (Rules)'!$R$5:$R$163,0)),""),"")</f>
        <v>Credit Committee / Zonal Credit</v>
      </c>
    </row>
    <row r="32" spans="1:16" ht="60" customHeight="1" x14ac:dyDescent="0.35">
      <c r="A32" s="22" t="s">
        <v>98</v>
      </c>
      <c r="B32" s="19" t="s">
        <v>99</v>
      </c>
      <c r="C32" s="18" t="s">
        <v>30</v>
      </c>
      <c r="D32" s="23" t="str">
        <f>INDEX('Indicator Master'!$F$4:$F$46,MATCH($A32,'Indicator Master'!$A$4:$A$46,0))</f>
        <v>No</v>
      </c>
      <c r="E32" s="22">
        <f>INDEX('Indicator Master'!$N$4:$N$46,MATCH($A32,'Indicator Master'!$A$4:$A$46,0))</f>
        <v>30</v>
      </c>
      <c r="F32" s="37" t="s">
        <v>848</v>
      </c>
      <c r="G32" s="37" t="s">
        <v>848</v>
      </c>
      <c r="H32" s="38" t="s">
        <v>858</v>
      </c>
      <c r="I32" s="37">
        <v>10</v>
      </c>
      <c r="J32" s="23">
        <f t="shared" si="0"/>
        <v>1</v>
      </c>
      <c r="K32" s="39">
        <f>IF($J32=1,$I32/$E32*'Risk Bands (Config)'!$B$5,"")</f>
        <v>33.333333333333329</v>
      </c>
      <c r="L32" s="23">
        <f>IF(AND($D32="Yes",$J32=1,$I32/$E32*'Risk Bands (Config)'!$B$5&gt;='Risk Bands (Config)'!$B$6),1,0)</f>
        <v>0</v>
      </c>
      <c r="M32" s="40" t="str">
        <f t="shared" si="1"/>
        <v/>
      </c>
      <c r="N32" s="19" t="str">
        <f>IF($J32=1,IFERROR(INDEX('Scoring Engine (Rules)'!$O$5:$O$163,MATCH($A32&amp;"|"&amp;$I32,'Scoring Engine (Rules)'!$R$5:$R$163,0)),""),"")</f>
        <v>Early warning — inventory days +15–30; early slowdown — collection lag or slow-moving stock.</v>
      </c>
      <c r="O32" s="19" t="str">
        <f>IF($J32=1,IFERROR(INDEX('Scoring Engine (Rules)'!$P$5:$P$163,MATCH($A32&amp;"|"&amp;$I32,'Scoring Engine (Rules)'!$R$5:$R$163,0)),""),"")</f>
        <v>1) Review the inventory ageing. 2) Identify overdue/slow items. 3) Monitor.</v>
      </c>
      <c r="P32" s="19" t="str">
        <f>IF($J32=1,IFERROR(INDEX('Scoring Engine (Rules)'!$Q$5:$Q$163,MATCH($A32&amp;"|"&amp;$I32,'Scoring Engine (Rules)'!$R$5:$R$163,0)),""),"")</f>
        <v>RM + Credit Analyst</v>
      </c>
    </row>
    <row r="33" spans="1:16" ht="60" customHeight="1" x14ac:dyDescent="0.35">
      <c r="A33" s="22" t="s">
        <v>104</v>
      </c>
      <c r="B33" s="19" t="s">
        <v>105</v>
      </c>
      <c r="C33" s="18" t="s">
        <v>30</v>
      </c>
      <c r="D33" s="23" t="str">
        <f>INDEX('Indicator Master'!$F$4:$F$46,MATCH($A33,'Indicator Master'!$A$4:$A$46,0))</f>
        <v>No</v>
      </c>
      <c r="E33" s="22">
        <f>INDEX('Indicator Master'!$N$4:$N$46,MATCH($A33,'Indicator Master'!$A$4:$A$46,0))</f>
        <v>30</v>
      </c>
      <c r="F33" s="37" t="s">
        <v>848</v>
      </c>
      <c r="G33" s="37" t="s">
        <v>848</v>
      </c>
      <c r="H33" s="38" t="s">
        <v>858</v>
      </c>
      <c r="I33" s="37">
        <v>10</v>
      </c>
      <c r="J33" s="23">
        <f t="shared" si="0"/>
        <v>1</v>
      </c>
      <c r="K33" s="39">
        <f>IF($J33=1,$I33/$E33*'Risk Bands (Config)'!$B$5,"")</f>
        <v>33.333333333333329</v>
      </c>
      <c r="L33" s="23">
        <f>IF(AND($D33="Yes",$J33=1,$I33/$E33*'Risk Bands (Config)'!$B$5&gt;='Risk Bands (Config)'!$B$6),1,0)</f>
        <v>0</v>
      </c>
      <c r="M33" s="40" t="str">
        <f t="shared" si="1"/>
        <v/>
      </c>
      <c r="N33" s="19" t="str">
        <f>IF($J33=1,IFERROR(INDEX('Scoring Engine (Rules)'!$O$5:$O$163,MATCH($A33&amp;"|"&amp;$I33,'Scoring Engine (Rules)'!$R$5:$R$163,0)),""),"")</f>
        <v>Early warning — creditor days +15–30; stretching payables — mild liquidity tightening or negotiated terms.</v>
      </c>
      <c r="O33" s="19" t="str">
        <f>IF($J33=1,IFERROR(INDEX('Scoring Engine (Rules)'!$P$5:$P$163,MATCH($A33&amp;"|"&amp;$I33,'Scoring Engine (Rules)'!$R$5:$R$163,0)),""),"")</f>
        <v>1) Review payables ageing and reason. 2) Check for supply-side disputes. 3) Monitor.</v>
      </c>
      <c r="P33" s="19" t="str">
        <f>IF($J33=1,IFERROR(INDEX('Scoring Engine (Rules)'!$Q$5:$Q$163,MATCH($A33&amp;"|"&amp;$I33,'Scoring Engine (Rules)'!$R$5:$R$163,0)),""),"")</f>
        <v>RM + Credit Analyst</v>
      </c>
    </row>
    <row r="34" spans="1:16" ht="60" customHeight="1" x14ac:dyDescent="0.35">
      <c r="A34" s="22" t="s">
        <v>109</v>
      </c>
      <c r="B34" s="19" t="s">
        <v>110</v>
      </c>
      <c r="C34" s="18" t="s">
        <v>30</v>
      </c>
      <c r="D34" s="23" t="str">
        <f>INDEX('Indicator Master'!$F$4:$F$46,MATCH($A34,'Indicator Master'!$A$4:$A$46,0))</f>
        <v>No</v>
      </c>
      <c r="E34" s="22">
        <f>INDEX('Indicator Master'!$N$4:$N$46,MATCH($A34,'Indicator Master'!$A$4:$A$46,0))</f>
        <v>40</v>
      </c>
      <c r="F34" s="37" t="s">
        <v>848</v>
      </c>
      <c r="G34" s="37" t="s">
        <v>848</v>
      </c>
      <c r="H34" s="38" t="s">
        <v>857</v>
      </c>
      <c r="I34" s="37">
        <v>30</v>
      </c>
      <c r="J34" s="23">
        <f t="shared" si="0"/>
        <v>1</v>
      </c>
      <c r="K34" s="39">
        <f>IF($J34=1,$I34/$E34*'Risk Bands (Config)'!$B$5,"")</f>
        <v>75</v>
      </c>
      <c r="L34" s="23">
        <f>IF(AND($D34="Yes",$J34=1,$I34/$E34*'Risk Bands (Config)'!$B$5&gt;='Risk Bands (Config)'!$B$6),1,0)</f>
        <v>0</v>
      </c>
      <c r="M34" s="40" t="str">
        <f t="shared" si="1"/>
        <v/>
      </c>
      <c r="N34" s="19" t="str">
        <f>IF($J34=1,IFERROR(INDEX('Scoring Engine (Rules)'!$O$5:$O$163,MATCH($A34&amp;"|"&amp;$I34,'Scoring Engine (Rules)'!$R$5:$R$163,0)),""),"")</f>
        <v>High concern — provisions up &gt;25–50%; material deterioration in asset quality.</v>
      </c>
      <c r="O34" s="19" t="str">
        <f>IF($J34=1,IFERROR(INDEX('Scoring Engine (Rules)'!$P$5:$P$163,MATCH($A34&amp;"|"&amp;$I34,'Scoring Engine (Rules)'!$R$5:$R$163,0)),""),"")</f>
        <v>1) Reassess viability given the losses. 2) Enhanced monitoring. 3) Escalate to Credit.</v>
      </c>
      <c r="P34" s="19" t="str">
        <f>IF($J34=1,IFERROR(INDEX('Scoring Engine (Rules)'!$Q$5:$Q$163,MATCH($A34&amp;"|"&amp;$I34,'Scoring Engine (Rules)'!$R$5:$R$163,0)),""),"")</f>
        <v>Credit Committee / Zonal Credit</v>
      </c>
    </row>
    <row r="35" spans="1:16" ht="60" customHeight="1" x14ac:dyDescent="0.35">
      <c r="A35" s="22" t="s">
        <v>116</v>
      </c>
      <c r="B35" s="19" t="s">
        <v>117</v>
      </c>
      <c r="C35" s="18" t="s">
        <v>30</v>
      </c>
      <c r="D35" s="23" t="str">
        <f>INDEX('Indicator Master'!$F$4:$F$46,MATCH($A35,'Indicator Master'!$A$4:$A$46,0))</f>
        <v>No</v>
      </c>
      <c r="E35" s="22">
        <f>INDEX('Indicator Master'!$N$4:$N$46,MATCH($A35,'Indicator Master'!$A$4:$A$46,0))</f>
        <v>35</v>
      </c>
      <c r="F35" s="37" t="s">
        <v>848</v>
      </c>
      <c r="G35" s="37" t="s">
        <v>848</v>
      </c>
      <c r="H35" s="38" t="s">
        <v>859</v>
      </c>
      <c r="I35" s="37">
        <v>10</v>
      </c>
      <c r="J35" s="23">
        <f t="shared" si="0"/>
        <v>1</v>
      </c>
      <c r="K35" s="39">
        <f>IF($J35=1,$I35/$E35*'Risk Bands (Config)'!$B$5,"")</f>
        <v>28.571428571428569</v>
      </c>
      <c r="L35" s="23">
        <f>IF(AND($D35="Yes",$J35=1,$I35/$E35*'Risk Bands (Config)'!$B$5&gt;='Risk Bands (Config)'!$B$6),1,0)</f>
        <v>0</v>
      </c>
      <c r="M35" s="40" t="str">
        <f t="shared" si="1"/>
        <v/>
      </c>
      <c r="N35" s="19" t="str">
        <f>IF($J35=1,IFERROR(INDEX('Scoring Engine (Rules)'!$O$5:$O$163,MATCH($A35&amp;"|"&amp;$I35,'Scoring Engine (Rules)'!$R$5:$R$163,0)),""),"")</f>
        <v>Early warning — 5–15% variance; mild under-performance vs projections.</v>
      </c>
      <c r="O35" s="19" t="str">
        <f>IF($J35=1,IFERROR(INDEX('Scoring Engine (Rules)'!$P$5:$P$163,MATCH($A35&amp;"|"&amp;$I35,'Scoring Engine (Rules)'!$R$5:$R$163,0)),""),"")</f>
        <v>1) Analyse the variance. 2) Revisit assumptions with the RM. 3) Monitor.</v>
      </c>
      <c r="P35" s="19" t="str">
        <f>IF($J35=1,IFERROR(INDEX('Scoring Engine (Rules)'!$Q$5:$Q$163,MATCH($A35&amp;"|"&amp;$I35,'Scoring Engine (Rules)'!$R$5:$R$163,0)),""),"")</f>
        <v>Relationship Manager (Branch)</v>
      </c>
    </row>
    <row r="36" spans="1:16" ht="60" customHeight="1" x14ac:dyDescent="0.35">
      <c r="A36" s="22" t="s">
        <v>123</v>
      </c>
      <c r="B36" s="19" t="s">
        <v>124</v>
      </c>
      <c r="C36" s="18" t="s">
        <v>30</v>
      </c>
      <c r="D36" s="23" t="str">
        <f>INDEX('Indicator Master'!$F$4:$F$46,MATCH($A36,'Indicator Master'!$A$4:$A$46,0))</f>
        <v>Yes</v>
      </c>
      <c r="E36" s="22">
        <f>INDEX('Indicator Master'!$N$4:$N$46,MATCH($A36,'Indicator Master'!$A$4:$A$46,0))</f>
        <v>35</v>
      </c>
      <c r="F36" s="37" t="s">
        <v>848</v>
      </c>
      <c r="G36" s="37" t="s">
        <v>848</v>
      </c>
      <c r="H36" s="38" t="s">
        <v>860</v>
      </c>
      <c r="I36" s="37">
        <v>10</v>
      </c>
      <c r="J36" s="23">
        <f t="shared" si="0"/>
        <v>1</v>
      </c>
      <c r="K36" s="39">
        <f>IF($J36=1,$I36/$E36*'Risk Bands (Config)'!$B$5,"")</f>
        <v>28.571428571428569</v>
      </c>
      <c r="L36" s="23">
        <f>IF(AND($D36="Yes",$J36=1,$I36/$E36*'Risk Bands (Config)'!$B$5&gt;='Risk Bands (Config)'!$B$6),1,0)</f>
        <v>0</v>
      </c>
      <c r="M36" s="40" t="str">
        <f t="shared" si="1"/>
        <v/>
      </c>
      <c r="N36" s="19" t="str">
        <f>IF($J36=1,IFERROR(INDEX('Scoring Engine (Rules)'!$O$5:$O$163,MATCH($A36&amp;"|"&amp;$I36,'Scoring Engine (Rules)'!$R$5:$R$163,0)),""),"")</f>
        <v>Early warning — up &gt;10–25%; some reliance on unsecured funds — check purpose.</v>
      </c>
      <c r="O36" s="19" t="str">
        <f>IF($J36=1,IFERROR(INDEX('Scoring Engine (Rules)'!$P$5:$P$163,MATCH($A36&amp;"|"&amp;$I36,'Scoring Engine (Rules)'!$R$5:$R$163,0)),""),"")</f>
        <v>1) Assess whether these are quasi-equity or a diversion. 2) Seek subordination/NDU. 3) Monitor.</v>
      </c>
      <c r="P36" s="19" t="str">
        <f>IF($J36=1,IFERROR(INDEX('Scoring Engine (Rules)'!$Q$5:$Q$163,MATCH($A36&amp;"|"&amp;$I36,'Scoring Engine (Rules)'!$R$5:$R$163,0)),""),"")</f>
        <v>Relationship Manager (Branch)</v>
      </c>
    </row>
    <row r="37" spans="1:16" ht="60" customHeight="1" x14ac:dyDescent="0.35">
      <c r="A37" s="22" t="s">
        <v>129</v>
      </c>
      <c r="B37" s="19" t="s">
        <v>130</v>
      </c>
      <c r="C37" s="18" t="s">
        <v>30</v>
      </c>
      <c r="D37" s="23" t="str">
        <f>INDEX('Indicator Master'!$F$4:$F$46,MATCH($A37,'Indicator Master'!$A$4:$A$46,0))</f>
        <v>No</v>
      </c>
      <c r="E37" s="22">
        <f>INDEX('Indicator Master'!$N$4:$N$46,MATCH($A37,'Indicator Master'!$A$4:$A$46,0))</f>
        <v>40</v>
      </c>
      <c r="F37" s="37" t="s">
        <v>848</v>
      </c>
      <c r="G37" s="37" t="s">
        <v>848</v>
      </c>
      <c r="H37" s="38" t="s">
        <v>861</v>
      </c>
      <c r="I37" s="37">
        <v>0</v>
      </c>
      <c r="J37" s="23">
        <f t="shared" si="0"/>
        <v>1</v>
      </c>
      <c r="K37" s="39">
        <f>IF($J37=1,$I37/$E37*'Risk Bands (Config)'!$B$5,"")</f>
        <v>0</v>
      </c>
      <c r="L37" s="23">
        <f>IF(AND($D37="Yes",$J37=1,$I37/$E37*'Risk Bands (Config)'!$B$5&gt;='Risk Bands (Config)'!$B$6),1,0)</f>
        <v>0</v>
      </c>
      <c r="M37" s="40" t="str">
        <f t="shared" si="1"/>
        <v/>
      </c>
      <c r="N37" s="19" t="str">
        <f>IF($J37=1,IFERROR(INDEX('Scoring Engine (Rules)'!$O$5:$O$163,MATCH($A37&amp;"|"&amp;$I37,'Scoring Engine (Rules)'!$R$5:$R$163,0)),""),"")</f>
        <v>Normal — finance cost growing in line with sales; leverage stable.</v>
      </c>
      <c r="O37" s="19" t="str">
        <f>IF($J37=1,IFERROR(INDEX('Scoring Engine (Rules)'!$P$5:$P$163,MATCH($A37&amp;"|"&amp;$I37,'Scoring Engine (Rules)'!$R$5:$R$163,0)),""),"")</f>
        <v>No remedial action required. Continue routine monitoring at the standard review cycle and record the reading.</v>
      </c>
      <c r="P37" s="19" t="str">
        <f>IF($J37=1,IFERROR(INDEX('Scoring Engine (Rules)'!$Q$5:$Q$163,MATCH($A37&amp;"|"&amp;$I37,'Scoring Engine (Rules)'!$R$5:$R$163,0)),""),"")</f>
        <v>RM (routine)</v>
      </c>
    </row>
    <row r="38" spans="1:16" ht="60" customHeight="1" x14ac:dyDescent="0.35">
      <c r="A38" s="22" t="s">
        <v>135</v>
      </c>
      <c r="B38" s="19" t="s">
        <v>136</v>
      </c>
      <c r="C38" s="18" t="s">
        <v>30</v>
      </c>
      <c r="D38" s="23" t="str">
        <f>INDEX('Indicator Master'!$F$4:$F$46,MATCH($A38,'Indicator Master'!$A$4:$A$46,0))</f>
        <v>No</v>
      </c>
      <c r="E38" s="22">
        <f>INDEX('Indicator Master'!$N$4:$N$46,MATCH($A38,'Indicator Master'!$A$4:$A$46,0))</f>
        <v>50</v>
      </c>
      <c r="F38" s="37" t="s">
        <v>862</v>
      </c>
      <c r="G38" s="37"/>
      <c r="H38" s="38" t="s">
        <v>863</v>
      </c>
      <c r="I38" s="37"/>
      <c r="J38" s="23">
        <f t="shared" si="0"/>
        <v>0</v>
      </c>
      <c r="K38" s="39" t="str">
        <f>IF($J38=1,$I38/$E38*'Risk Bands (Config)'!$B$5,"")</f>
        <v/>
      </c>
      <c r="L38" s="23">
        <f>IF(AND($D38="Yes",$J38=1,$I38/$E38*'Risk Bands (Config)'!$B$5&gt;='Risk Bands (Config)'!$B$6),1,0)</f>
        <v>0</v>
      </c>
      <c r="M38" s="40" t="str">
        <f t="shared" si="1"/>
        <v/>
      </c>
      <c r="N38" s="19" t="str">
        <f>IF($J38=1,IFERROR(INDEX('Scoring Engine (Rules)'!$O$5:$O$163,MATCH($A38&amp;"|"&amp;$I38,'Scoring Engine (Rules)'!$R$5:$R$163,0)),""),"")</f>
        <v/>
      </c>
      <c r="O38" s="19" t="str">
        <f>IF($J38=1,IFERROR(INDEX('Scoring Engine (Rules)'!$P$5:$P$163,MATCH($A38&amp;"|"&amp;$I38,'Scoring Engine (Rules)'!$R$5:$R$163,0)),""),"")</f>
        <v/>
      </c>
      <c r="P38" s="19" t="str">
        <f>IF($J38=1,IFERROR(INDEX('Scoring Engine (Rules)'!$Q$5:$Q$163,MATCH($A38&amp;"|"&amp;$I38,'Scoring Engine (Rules)'!$R$5:$R$163,0)),""),"")</f>
        <v/>
      </c>
    </row>
    <row r="39" spans="1:16" ht="60" customHeight="1" x14ac:dyDescent="0.35">
      <c r="A39" s="22" t="s">
        <v>144</v>
      </c>
      <c r="B39" s="19" t="s">
        <v>145</v>
      </c>
      <c r="C39" s="18" t="s">
        <v>30</v>
      </c>
      <c r="D39" s="23" t="str">
        <f>INDEX('Indicator Master'!$F$4:$F$46,MATCH($A39,'Indicator Master'!$A$4:$A$46,0))</f>
        <v>No</v>
      </c>
      <c r="E39" s="22">
        <f>INDEX('Indicator Master'!$N$4:$N$46,MATCH($A39,'Indicator Master'!$A$4:$A$46,0))</f>
        <v>50</v>
      </c>
      <c r="F39" s="37" t="s">
        <v>862</v>
      </c>
      <c r="G39" s="37"/>
      <c r="H39" s="38" t="s">
        <v>863</v>
      </c>
      <c r="I39" s="37"/>
      <c r="J39" s="23">
        <f t="shared" si="0"/>
        <v>0</v>
      </c>
      <c r="K39" s="39" t="str">
        <f>IF($J39=1,$I39/$E39*'Risk Bands (Config)'!$B$5,"")</f>
        <v/>
      </c>
      <c r="L39" s="23">
        <f>IF(AND($D39="Yes",$J39=1,$I39/$E39*'Risk Bands (Config)'!$B$5&gt;='Risk Bands (Config)'!$B$6),1,0)</f>
        <v>0</v>
      </c>
      <c r="M39" s="40" t="str">
        <f t="shared" si="1"/>
        <v/>
      </c>
      <c r="N39" s="19" t="str">
        <f>IF($J39=1,IFERROR(INDEX('Scoring Engine (Rules)'!$O$5:$O$163,MATCH($A39&amp;"|"&amp;$I39,'Scoring Engine (Rules)'!$R$5:$R$163,0)),""),"")</f>
        <v/>
      </c>
      <c r="O39" s="19" t="str">
        <f>IF($J39=1,IFERROR(INDEX('Scoring Engine (Rules)'!$P$5:$P$163,MATCH($A39&amp;"|"&amp;$I39,'Scoring Engine (Rules)'!$R$5:$R$163,0)),""),"")</f>
        <v/>
      </c>
      <c r="P39" s="19" t="str">
        <f>IF($J39=1,IFERROR(INDEX('Scoring Engine (Rules)'!$Q$5:$Q$163,MATCH($A39&amp;"|"&amp;$I39,'Scoring Engine (Rules)'!$R$5:$R$163,0)),""),"")</f>
        <v/>
      </c>
    </row>
    <row r="40" spans="1:16" ht="60" customHeight="1" x14ac:dyDescent="0.35">
      <c r="A40" s="22" t="s">
        <v>149</v>
      </c>
      <c r="B40" s="19" t="s">
        <v>150</v>
      </c>
      <c r="C40" s="18" t="s">
        <v>30</v>
      </c>
      <c r="D40" s="23" t="str">
        <f>INDEX('Indicator Master'!$F$4:$F$46,MATCH($A40,'Indicator Master'!$A$4:$A$46,0))</f>
        <v>No</v>
      </c>
      <c r="E40" s="22">
        <f>INDEX('Indicator Master'!$N$4:$N$46,MATCH($A40,'Indicator Master'!$A$4:$A$46,0))</f>
        <v>40</v>
      </c>
      <c r="F40" s="37" t="s">
        <v>848</v>
      </c>
      <c r="G40" s="37" t="s">
        <v>862</v>
      </c>
      <c r="H40" s="38" t="s">
        <v>864</v>
      </c>
      <c r="I40" s="37"/>
      <c r="J40" s="23">
        <f t="shared" si="0"/>
        <v>0</v>
      </c>
      <c r="K40" s="39" t="str">
        <f>IF($J40=1,$I40/$E40*'Risk Bands (Config)'!$B$5,"")</f>
        <v/>
      </c>
      <c r="L40" s="23">
        <f>IF(AND($D40="Yes",$J40=1,$I40/$E40*'Risk Bands (Config)'!$B$5&gt;='Risk Bands (Config)'!$B$6),1,0)</f>
        <v>0</v>
      </c>
      <c r="M40" s="40" t="str">
        <f t="shared" si="1"/>
        <v/>
      </c>
      <c r="N40" s="19" t="str">
        <f>IF($J40=1,IFERROR(INDEX('Scoring Engine (Rules)'!$O$5:$O$163,MATCH($A40&amp;"|"&amp;$I40,'Scoring Engine (Rules)'!$R$5:$R$163,0)),""),"")</f>
        <v/>
      </c>
      <c r="O40" s="19" t="str">
        <f>IF($J40=1,IFERROR(INDEX('Scoring Engine (Rules)'!$P$5:$P$163,MATCH($A40&amp;"|"&amp;$I40,'Scoring Engine (Rules)'!$R$5:$R$163,0)),""),"")</f>
        <v/>
      </c>
      <c r="P40" s="19" t="str">
        <f>IF($J40=1,IFERROR(INDEX('Scoring Engine (Rules)'!$Q$5:$Q$163,MATCH($A40&amp;"|"&amp;$I40,'Scoring Engine (Rules)'!$R$5:$R$163,0)),""),"")</f>
        <v/>
      </c>
    </row>
    <row r="41" spans="1:16" ht="60" customHeight="1" x14ac:dyDescent="0.35">
      <c r="A41" s="22" t="s">
        <v>158</v>
      </c>
      <c r="B41" s="19" t="s">
        <v>159</v>
      </c>
      <c r="C41" s="18" t="s">
        <v>30</v>
      </c>
      <c r="D41" s="23" t="str">
        <f>INDEX('Indicator Master'!$F$4:$F$46,MATCH($A41,'Indicator Master'!$A$4:$A$46,0))</f>
        <v>No</v>
      </c>
      <c r="E41" s="22">
        <f>INDEX('Indicator Master'!$N$4:$N$46,MATCH($A41,'Indicator Master'!$A$4:$A$46,0))</f>
        <v>40</v>
      </c>
      <c r="F41" s="37" t="s">
        <v>848</v>
      </c>
      <c r="G41" s="37" t="s">
        <v>848</v>
      </c>
      <c r="H41" s="38" t="s">
        <v>865</v>
      </c>
      <c r="I41" s="37">
        <v>0</v>
      </c>
      <c r="J41" s="23">
        <f t="shared" si="0"/>
        <v>1</v>
      </c>
      <c r="K41" s="39">
        <f>IF($J41=1,$I41/$E41*'Risk Bands (Config)'!$B$5,"")</f>
        <v>0</v>
      </c>
      <c r="L41" s="23">
        <f>IF(AND($D41="Yes",$J41=1,$I41/$E41*'Risk Bands (Config)'!$B$5&gt;='Risk Bands (Config)'!$B$6),1,0)</f>
        <v>0</v>
      </c>
      <c r="M41" s="40" t="str">
        <f t="shared" si="1"/>
        <v/>
      </c>
      <c r="N41" s="19" t="str">
        <f>IF($J41=1,IFERROR(INDEX('Scoring Engine (Rules)'!$O$5:$O$163,MATCH($A41&amp;"|"&amp;$I41,'Scoring Engine (Rules)'!$R$5:$R$163,0)),""),"")</f>
        <v>Normal — no change in financial year/auditor; reporting stable.</v>
      </c>
      <c r="O41" s="19" t="str">
        <f>IF($J41=1,IFERROR(INDEX('Scoring Engine (Rules)'!$P$5:$P$163,MATCH($A41&amp;"|"&amp;$I41,'Scoring Engine (Rules)'!$R$5:$R$163,0)),""),"")</f>
        <v>No remedial action required. Continue routine monitoring at the standard review cycle and record the reading.</v>
      </c>
      <c r="P41" s="19" t="str">
        <f>IF($J41=1,IFERROR(INDEX('Scoring Engine (Rules)'!$Q$5:$Q$163,MATCH($A41&amp;"|"&amp;$I41,'Scoring Engine (Rules)'!$R$5:$R$163,0)),""),"")</f>
        <v>RM (routine)</v>
      </c>
    </row>
    <row r="42" spans="1:16" ht="60" customHeight="1" x14ac:dyDescent="0.35">
      <c r="A42" s="22" t="s">
        <v>167</v>
      </c>
      <c r="B42" s="19" t="s">
        <v>168</v>
      </c>
      <c r="C42" s="18" t="s">
        <v>30</v>
      </c>
      <c r="D42" s="23" t="str">
        <f>INDEX('Indicator Master'!$F$4:$F$46,MATCH($A42,'Indicator Master'!$A$4:$A$46,0))</f>
        <v>No</v>
      </c>
      <c r="E42" s="22">
        <f>INDEX('Indicator Master'!$N$4:$N$46,MATCH($A42,'Indicator Master'!$A$4:$A$46,0))</f>
        <v>40</v>
      </c>
      <c r="F42" s="37" t="s">
        <v>848</v>
      </c>
      <c r="G42" s="37" t="s">
        <v>848</v>
      </c>
      <c r="H42" s="38" t="s">
        <v>866</v>
      </c>
      <c r="I42" s="37">
        <v>0</v>
      </c>
      <c r="J42" s="23">
        <f t="shared" si="0"/>
        <v>1</v>
      </c>
      <c r="K42" s="39">
        <f>IF($J42=1,$I42/$E42*'Risk Bands (Config)'!$B$5,"")</f>
        <v>0</v>
      </c>
      <c r="L42" s="23">
        <f>IF(AND($D42="Yes",$J42=1,$I42/$E42*'Risk Bands (Config)'!$B$5&gt;='Risk Bands (Config)'!$B$6),1,0)</f>
        <v>0</v>
      </c>
      <c r="M42" s="40" t="str">
        <f t="shared" si="1"/>
        <v/>
      </c>
      <c r="N42" s="19" t="str">
        <f>IF($J42=1,IFERROR(INDEX('Scoring Engine (Rules)'!$O$5:$O$163,MATCH($A42&amp;"|"&amp;$I42,'Scoring Engine (Rules)'!$R$5:$R$163,0)),""),"")</f>
        <v>Normal — clean audit, no issue; reliable reporting.</v>
      </c>
      <c r="O42" s="19" t="str">
        <f>IF($J42=1,IFERROR(INDEX('Scoring Engine (Rules)'!$P$5:$P$163,MATCH($A42&amp;"|"&amp;$I42,'Scoring Engine (Rules)'!$R$5:$R$163,0)),""),"")</f>
        <v>No remedial action required. Continue routine monitoring at the standard review cycle and record the reading.</v>
      </c>
      <c r="P42" s="19" t="str">
        <f>IF($J42=1,IFERROR(INDEX('Scoring Engine (Rules)'!$Q$5:$Q$163,MATCH($A42&amp;"|"&amp;$I42,'Scoring Engine (Rules)'!$R$5:$R$163,0)),""),"")</f>
        <v>RM (routine)</v>
      </c>
    </row>
    <row r="43" spans="1:16" ht="60" customHeight="1" x14ac:dyDescent="0.35">
      <c r="A43" s="22" t="s">
        <v>173</v>
      </c>
      <c r="B43" s="19" t="s">
        <v>174</v>
      </c>
      <c r="C43" s="18" t="s">
        <v>30</v>
      </c>
      <c r="D43" s="23" t="str">
        <f>INDEX('Indicator Master'!$F$4:$F$46,MATCH($A43,'Indicator Master'!$A$4:$A$46,0))</f>
        <v>No</v>
      </c>
      <c r="E43" s="22">
        <f>INDEX('Indicator Master'!$N$4:$N$46,MATCH($A43,'Indicator Master'!$A$4:$A$46,0))</f>
        <v>40</v>
      </c>
      <c r="F43" s="37" t="s">
        <v>848</v>
      </c>
      <c r="G43" s="37" t="s">
        <v>848</v>
      </c>
      <c r="H43" s="38" t="s">
        <v>867</v>
      </c>
      <c r="I43" s="37">
        <v>0</v>
      </c>
      <c r="J43" s="23">
        <f t="shared" si="0"/>
        <v>1</v>
      </c>
      <c r="K43" s="39">
        <f>IF($J43=1,$I43/$E43*'Risk Bands (Config)'!$B$5,"")</f>
        <v>0</v>
      </c>
      <c r="L43" s="23">
        <f>IF(AND($D43="Yes",$J43=1,$I43/$E43*'Risk Bands (Config)'!$B$5&gt;='Risk Bands (Config)'!$B$6),1,0)</f>
        <v>0</v>
      </c>
      <c r="M43" s="40" t="str">
        <f t="shared" si="1"/>
        <v/>
      </c>
      <c r="N43" s="19" t="str">
        <f>IF($J43=1,IFERROR(INDEX('Scoring Engine (Rules)'!$O$5:$O$163,MATCH($A43&amp;"|"&amp;$I43,'Scoring Engine (Rules)'!$R$5:$R$163,0)),""),"")</f>
        <v>Normal — no adverse management change; continuity intact.</v>
      </c>
      <c r="O43" s="19" t="str">
        <f>IF($J43=1,IFERROR(INDEX('Scoring Engine (Rules)'!$P$5:$P$163,MATCH($A43&amp;"|"&amp;$I43,'Scoring Engine (Rules)'!$R$5:$R$163,0)),""),"")</f>
        <v>No remedial action required. Continue routine monitoring at the standard review cycle and record the reading.</v>
      </c>
      <c r="P43" s="19" t="str">
        <f>IF($J43=1,IFERROR(INDEX('Scoring Engine (Rules)'!$Q$5:$Q$163,MATCH($A43&amp;"|"&amp;$I43,'Scoring Engine (Rules)'!$R$5:$R$163,0)),""),"")</f>
        <v>RM (routine)</v>
      </c>
    </row>
    <row r="44" spans="1:16" ht="60" customHeight="1" x14ac:dyDescent="0.35">
      <c r="A44" s="22" t="s">
        <v>180</v>
      </c>
      <c r="B44" s="19" t="s">
        <v>181</v>
      </c>
      <c r="C44" s="18" t="s">
        <v>30</v>
      </c>
      <c r="D44" s="23" t="str">
        <f>INDEX('Indicator Master'!$F$4:$F$46,MATCH($A44,'Indicator Master'!$A$4:$A$46,0))</f>
        <v>No</v>
      </c>
      <c r="E44" s="22">
        <f>INDEX('Indicator Master'!$N$4:$N$46,MATCH($A44,'Indicator Master'!$A$4:$A$46,0))</f>
        <v>40</v>
      </c>
      <c r="F44" s="37" t="s">
        <v>862</v>
      </c>
      <c r="G44" s="37"/>
      <c r="H44" s="38" t="s">
        <v>863</v>
      </c>
      <c r="I44" s="37"/>
      <c r="J44" s="23">
        <f t="shared" si="0"/>
        <v>0</v>
      </c>
      <c r="K44" s="39" t="str">
        <f>IF($J44=1,$I44/$E44*'Risk Bands (Config)'!$B$5,"")</f>
        <v/>
      </c>
      <c r="L44" s="23">
        <f>IF(AND($D44="Yes",$J44=1,$I44/$E44*'Risk Bands (Config)'!$B$5&gt;='Risk Bands (Config)'!$B$6),1,0)</f>
        <v>0</v>
      </c>
      <c r="M44" s="40" t="str">
        <f t="shared" si="1"/>
        <v/>
      </c>
      <c r="N44" s="19" t="str">
        <f>IF($J44=1,IFERROR(INDEX('Scoring Engine (Rules)'!$O$5:$O$163,MATCH($A44&amp;"|"&amp;$I44,'Scoring Engine (Rules)'!$R$5:$R$163,0)),""),"")</f>
        <v/>
      </c>
      <c r="O44" s="19" t="str">
        <f>IF($J44=1,IFERROR(INDEX('Scoring Engine (Rules)'!$P$5:$P$163,MATCH($A44&amp;"|"&amp;$I44,'Scoring Engine (Rules)'!$R$5:$R$163,0)),""),"")</f>
        <v/>
      </c>
      <c r="P44" s="19" t="str">
        <f>IF($J44=1,IFERROR(INDEX('Scoring Engine (Rules)'!$Q$5:$Q$163,MATCH($A44&amp;"|"&amp;$I44,'Scoring Engine (Rules)'!$R$5:$R$163,0)),""),"")</f>
        <v/>
      </c>
    </row>
    <row r="45" spans="1:16" ht="60" customHeight="1" x14ac:dyDescent="0.35">
      <c r="A45" s="22" t="s">
        <v>188</v>
      </c>
      <c r="B45" s="19" t="s">
        <v>189</v>
      </c>
      <c r="C45" s="18" t="s">
        <v>30</v>
      </c>
      <c r="D45" s="23" t="str">
        <f>INDEX('Indicator Master'!$F$4:$F$46,MATCH($A45,'Indicator Master'!$A$4:$A$46,0))</f>
        <v>No</v>
      </c>
      <c r="E45" s="22">
        <f>INDEX('Indicator Master'!$N$4:$N$46,MATCH($A45,'Indicator Master'!$A$4:$A$46,0))</f>
        <v>40</v>
      </c>
      <c r="F45" s="37" t="s">
        <v>862</v>
      </c>
      <c r="G45" s="37"/>
      <c r="H45" s="38" t="s">
        <v>863</v>
      </c>
      <c r="I45" s="37"/>
      <c r="J45" s="23">
        <f t="shared" si="0"/>
        <v>0</v>
      </c>
      <c r="K45" s="39" t="str">
        <f>IF($J45=1,$I45/$E45*'Risk Bands (Config)'!$B$5,"")</f>
        <v/>
      </c>
      <c r="L45" s="23">
        <f>IF(AND($D45="Yes",$J45=1,$I45/$E45*'Risk Bands (Config)'!$B$5&gt;='Risk Bands (Config)'!$B$6),1,0)</f>
        <v>0</v>
      </c>
      <c r="M45" s="40" t="str">
        <f t="shared" si="1"/>
        <v/>
      </c>
      <c r="N45" s="19" t="str">
        <f>IF($J45=1,IFERROR(INDEX('Scoring Engine (Rules)'!$O$5:$O$163,MATCH($A45&amp;"|"&amp;$I45,'Scoring Engine (Rules)'!$R$5:$R$163,0)),""),"")</f>
        <v/>
      </c>
      <c r="O45" s="19" t="str">
        <f>IF($J45=1,IFERROR(INDEX('Scoring Engine (Rules)'!$P$5:$P$163,MATCH($A45&amp;"|"&amp;$I45,'Scoring Engine (Rules)'!$R$5:$R$163,0)),""),"")</f>
        <v/>
      </c>
      <c r="P45" s="19" t="str">
        <f>IF($J45=1,IFERROR(INDEX('Scoring Engine (Rules)'!$Q$5:$Q$163,MATCH($A45&amp;"|"&amp;$I45,'Scoring Engine (Rules)'!$R$5:$R$163,0)),""),"")</f>
        <v/>
      </c>
    </row>
    <row r="46" spans="1:16" ht="60" customHeight="1" x14ac:dyDescent="0.35">
      <c r="A46" s="22" t="s">
        <v>194</v>
      </c>
      <c r="B46" s="19" t="s">
        <v>195</v>
      </c>
      <c r="C46" s="18" t="s">
        <v>30</v>
      </c>
      <c r="D46" s="23" t="str">
        <f>INDEX('Indicator Master'!$F$4:$F$46,MATCH($A46,'Indicator Master'!$A$4:$A$46,0))</f>
        <v>No</v>
      </c>
      <c r="E46" s="22">
        <f>INDEX('Indicator Master'!$N$4:$N$46,MATCH($A46,'Indicator Master'!$A$4:$A$46,0))</f>
        <v>40</v>
      </c>
      <c r="F46" s="37" t="s">
        <v>848</v>
      </c>
      <c r="G46" s="37" t="s">
        <v>862</v>
      </c>
      <c r="H46" s="38" t="s">
        <v>864</v>
      </c>
      <c r="I46" s="37"/>
      <c r="J46" s="23">
        <f t="shared" si="0"/>
        <v>0</v>
      </c>
      <c r="K46" s="39" t="str">
        <f>IF($J46=1,$I46/$E46*'Risk Bands (Config)'!$B$5,"")</f>
        <v/>
      </c>
      <c r="L46" s="23">
        <f>IF(AND($D46="Yes",$J46=1,$I46/$E46*'Risk Bands (Config)'!$B$5&gt;='Risk Bands (Config)'!$B$6),1,0)</f>
        <v>0</v>
      </c>
      <c r="M46" s="40" t="str">
        <f t="shared" si="1"/>
        <v/>
      </c>
      <c r="N46" s="19" t="str">
        <f>IF($J46=1,IFERROR(INDEX('Scoring Engine (Rules)'!$O$5:$O$163,MATCH($A46&amp;"|"&amp;$I46,'Scoring Engine (Rules)'!$R$5:$R$163,0)),""),"")</f>
        <v/>
      </c>
      <c r="O46" s="19" t="str">
        <f>IF($J46=1,IFERROR(INDEX('Scoring Engine (Rules)'!$P$5:$P$163,MATCH($A46&amp;"|"&amp;$I46,'Scoring Engine (Rules)'!$R$5:$R$163,0)),""),"")</f>
        <v/>
      </c>
      <c r="P46" s="19" t="str">
        <f>IF($J46=1,IFERROR(INDEX('Scoring Engine (Rules)'!$Q$5:$Q$163,MATCH($A46&amp;"|"&amp;$I46,'Scoring Engine (Rules)'!$R$5:$R$163,0)),""),"")</f>
        <v/>
      </c>
    </row>
    <row r="47" spans="1:16" ht="60" customHeight="1" x14ac:dyDescent="0.35">
      <c r="A47" s="22" t="s">
        <v>200</v>
      </c>
      <c r="B47" s="19" t="s">
        <v>201</v>
      </c>
      <c r="C47" s="18" t="s">
        <v>30</v>
      </c>
      <c r="D47" s="23" t="str">
        <f>INDEX('Indicator Master'!$F$4:$F$46,MATCH($A47,'Indicator Master'!$A$4:$A$46,0))</f>
        <v>No</v>
      </c>
      <c r="E47" s="22">
        <f>INDEX('Indicator Master'!$N$4:$N$46,MATCH($A47,'Indicator Master'!$A$4:$A$46,0))</f>
        <v>40</v>
      </c>
      <c r="F47" s="37" t="s">
        <v>848</v>
      </c>
      <c r="G47" s="37" t="s">
        <v>848</v>
      </c>
      <c r="H47" s="38" t="s">
        <v>868</v>
      </c>
      <c r="I47" s="37">
        <v>0</v>
      </c>
      <c r="J47" s="23">
        <f t="shared" si="0"/>
        <v>1</v>
      </c>
      <c r="K47" s="39">
        <f>IF($J47=1,$I47/$E47*'Risk Bands (Config)'!$B$5,"")</f>
        <v>0</v>
      </c>
      <c r="L47" s="23">
        <f>IF(AND($D47="Yes",$J47=1,$I47/$E47*'Risk Bands (Config)'!$B$5&gt;='Risk Bands (Config)'!$B$6),1,0)</f>
        <v>0</v>
      </c>
      <c r="M47" s="40" t="str">
        <f t="shared" si="1"/>
        <v/>
      </c>
      <c r="N47" s="19" t="str">
        <f>IF($J47=1,IFERROR(INDEX('Scoring Engine (Rules)'!$O$5:$O$163,MATCH($A47&amp;"|"&amp;$I47,'Scoring Engine (Rules)'!$R$5:$R$163,0)),""),"")</f>
        <v>Normal — no group stress; group profile stable.</v>
      </c>
      <c r="O47" s="19" t="str">
        <f>IF($J47=1,IFERROR(INDEX('Scoring Engine (Rules)'!$P$5:$P$163,MATCH($A47&amp;"|"&amp;$I47,'Scoring Engine (Rules)'!$R$5:$R$163,0)),""),"")</f>
        <v>No remedial action required. Continue routine monitoring at the standard review cycle and record the reading.</v>
      </c>
      <c r="P47" s="19" t="str">
        <f>IF($J47=1,IFERROR(INDEX('Scoring Engine (Rules)'!$Q$5:$Q$163,MATCH($A47&amp;"|"&amp;$I47,'Scoring Engine (Rules)'!$R$5:$R$163,0)),""),"")</f>
        <v>RM (routine)</v>
      </c>
    </row>
    <row r="48" spans="1:16" ht="60" customHeight="1" x14ac:dyDescent="0.35">
      <c r="A48" s="22" t="s">
        <v>207</v>
      </c>
      <c r="B48" s="19" t="s">
        <v>208</v>
      </c>
      <c r="C48" s="18" t="s">
        <v>30</v>
      </c>
      <c r="D48" s="23" t="str">
        <f>INDEX('Indicator Master'!$F$4:$F$46,MATCH($A48,'Indicator Master'!$A$4:$A$46,0))</f>
        <v>Yes</v>
      </c>
      <c r="E48" s="22">
        <f>INDEX('Indicator Master'!$N$4:$N$46,MATCH($A48,'Indicator Master'!$A$4:$A$46,0))</f>
        <v>35</v>
      </c>
      <c r="F48" s="37" t="s">
        <v>848</v>
      </c>
      <c r="G48" s="37" t="s">
        <v>848</v>
      </c>
      <c r="H48" s="38" t="s">
        <v>869</v>
      </c>
      <c r="I48" s="37">
        <v>35</v>
      </c>
      <c r="J48" s="23">
        <f t="shared" si="0"/>
        <v>1</v>
      </c>
      <c r="K48" s="39">
        <f>IF($J48=1,$I48/$E48*'Risk Bands (Config)'!$B$5,"")</f>
        <v>100</v>
      </c>
      <c r="L48" s="23">
        <f>IF(AND($D48="Yes",$J48=1,$I48/$E48*'Risk Bands (Config)'!$B$5&gt;='Risk Bands (Config)'!$B$6),1,0)</f>
        <v>1</v>
      </c>
      <c r="M48" s="40" t="str">
        <f t="shared" si="1"/>
        <v>EWS-026</v>
      </c>
      <c r="N48" s="19" t="str">
        <f>IF($J48=1,IFERROR(INDEX('Scoring Engine (Rules)'!$O$5:$O$163,MATCH($A48&amp;"|"&amp;$I48,'Scoring Engine (Rules)'!$R$5:$R$163,0)),""),"")</f>
        <v>Severe / critical — 3+ months overdue; severe — large statutory arrears ranking ahead of the bank, attachment risk.</v>
      </c>
      <c r="O48" s="19" t="str">
        <f>IF($J48=1,IFERROR(INDEX('Scoring Engine (Rules)'!$P$5:$P$163,MATCH($A48&amp;"|"&amp;$I48,'Scoring Engine (Rules)'!$R$5:$R$163,0)),""),"")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P48" s="19" t="str">
        <f>IF($J48=1,IFERROR(INDEX('Scoring Engine (Rules)'!$Q$5:$Q$163,MATCH($A48&amp;"|"&amp;$I48,'Scoring Engine (Rules)'!$R$5:$R$163,0)),""),"")</f>
        <v>Credit Head / Risk (immediate)</v>
      </c>
    </row>
    <row r="49" spans="1:16" ht="60" customHeight="1" x14ac:dyDescent="0.35">
      <c r="A49" s="22" t="s">
        <v>214</v>
      </c>
      <c r="B49" s="19" t="s">
        <v>215</v>
      </c>
      <c r="C49" s="18" t="s">
        <v>30</v>
      </c>
      <c r="D49" s="23" t="str">
        <f>INDEX('Indicator Master'!$F$4:$F$46,MATCH($A49,'Indicator Master'!$A$4:$A$46,0))</f>
        <v>No</v>
      </c>
      <c r="E49" s="22">
        <f>INDEX('Indicator Master'!$N$4:$N$46,MATCH($A49,'Indicator Master'!$A$4:$A$46,0))</f>
        <v>50</v>
      </c>
      <c r="F49" s="37" t="s">
        <v>848</v>
      </c>
      <c r="G49" s="37" t="s">
        <v>848</v>
      </c>
      <c r="H49" s="38" t="s">
        <v>870</v>
      </c>
      <c r="I49" s="37">
        <v>15</v>
      </c>
      <c r="J49" s="23">
        <f t="shared" si="0"/>
        <v>1</v>
      </c>
      <c r="K49" s="39">
        <f>IF($J49=1,$I49/$E49*'Risk Bands (Config)'!$B$5,"")</f>
        <v>30</v>
      </c>
      <c r="L49" s="23">
        <f>IF(AND($D49="Yes",$J49=1,$I49/$E49*'Risk Bands (Config)'!$B$5&gt;='Risk Bands (Config)'!$B$6),1,0)</f>
        <v>0</v>
      </c>
      <c r="M49" s="40" t="str">
        <f t="shared" si="1"/>
        <v>EWS-026</v>
      </c>
      <c r="N49" s="19" t="str">
        <f>IF($J49=1,IFERROR(INDEX('Scoring Engine (Rules)'!$O$5:$O$163,MATCH($A49&amp;"|"&amp;$I49,'Scoring Engine (Rules)'!$R$5:$R$163,0)),""),"")</f>
        <v>Early warning — a regulatory notice received; early compliance concern.</v>
      </c>
      <c r="O49" s="19" t="str">
        <f>IF($J49=1,IFERROR(INDEX('Scoring Engine (Rules)'!$P$5:$P$163,MATCH($A49&amp;"|"&amp;$I49,'Scoring Engine (Rules)'!$R$5:$R$163,0)),""),"")</f>
        <v>1) Obtain notice details; assess materiality. 2) Legal opinion if needed. 3) Monitor.</v>
      </c>
      <c r="P49" s="19" t="str">
        <f>IF($J49=1,IFERROR(INDEX('Scoring Engine (Rules)'!$Q$5:$Q$163,MATCH($A49&amp;"|"&amp;$I49,'Scoring Engine (Rules)'!$R$5:$R$163,0)),""),"")</f>
        <v>Relationship Manager (Branch)</v>
      </c>
    </row>
    <row r="50" spans="1:16" ht="60" customHeight="1" x14ac:dyDescent="0.35">
      <c r="A50" s="22" t="s">
        <v>222</v>
      </c>
      <c r="B50" s="19" t="s">
        <v>223</v>
      </c>
      <c r="C50" s="18" t="s">
        <v>30</v>
      </c>
      <c r="D50" s="23" t="str">
        <f>INDEX('Indicator Master'!$F$4:$F$46,MATCH($A50,'Indicator Master'!$A$4:$A$46,0))</f>
        <v>No</v>
      </c>
      <c r="E50" s="22">
        <f>INDEX('Indicator Master'!$N$4:$N$46,MATCH($A50,'Indicator Master'!$A$4:$A$46,0))</f>
        <v>40</v>
      </c>
      <c r="F50" s="37" t="s">
        <v>848</v>
      </c>
      <c r="G50" s="37" t="s">
        <v>848</v>
      </c>
      <c r="H50" s="38" t="s">
        <v>871</v>
      </c>
      <c r="I50" s="37">
        <v>15</v>
      </c>
      <c r="J50" s="23">
        <f t="shared" si="0"/>
        <v>1</v>
      </c>
      <c r="K50" s="39">
        <f>IF($J50=1,$I50/$E50*'Risk Bands (Config)'!$B$5,"")</f>
        <v>37.5</v>
      </c>
      <c r="L50" s="23">
        <f>IF(AND($D50="Yes",$J50=1,$I50/$E50*'Risk Bands (Config)'!$B$5&gt;='Risk Bands (Config)'!$B$6),1,0)</f>
        <v>0</v>
      </c>
      <c r="M50" s="40" t="str">
        <f t="shared" si="1"/>
        <v>EWS-026</v>
      </c>
      <c r="N50" s="19" t="str">
        <f>IF($J50=1,IFERROR(INDEX('Scoring Engine (Rules)'!$O$5:$O$163,MATCH($A50&amp;"|"&amp;$I50,'Scoring Engine (Rules)'!$R$5:$R$163,0)),""),"")</f>
        <v>Elevated concern — case count up &gt;10–25% with no material case; rising but immaterial litigation.</v>
      </c>
      <c r="O50" s="19" t="str">
        <f>IF($J50=1,IFERROR(INDEX('Scoring Engine (Rules)'!$P$5:$P$163,MATCH($A50&amp;"|"&amp;$I50,'Scoring Engine (Rules)'!$R$5:$R$163,0)),""),"")</f>
        <v>1) Review the nature of new cases. 2) Legal opinion on aggregate exposure. 3) Monitor.</v>
      </c>
      <c r="P50" s="19" t="str">
        <f>IF($J50=1,IFERROR(INDEX('Scoring Engine (Rules)'!$Q$5:$Q$163,MATCH($A50&amp;"|"&amp;$I50,'Scoring Engine (Rules)'!$R$5:$R$163,0)),""),"")</f>
        <v>RM + Credit Analyst</v>
      </c>
    </row>
    <row r="51" spans="1:16" ht="60" customHeight="1" x14ac:dyDescent="0.35">
      <c r="A51" s="22" t="s">
        <v>230</v>
      </c>
      <c r="B51" s="19" t="s">
        <v>231</v>
      </c>
      <c r="C51" s="18" t="s">
        <v>30</v>
      </c>
      <c r="D51" s="23" t="str">
        <f>INDEX('Indicator Master'!$F$4:$F$46,MATCH($A51,'Indicator Master'!$A$4:$A$46,0))</f>
        <v>No</v>
      </c>
      <c r="E51" s="22">
        <f>INDEX('Indicator Master'!$N$4:$N$46,MATCH($A51,'Indicator Master'!$A$4:$A$46,0))</f>
        <v>40</v>
      </c>
      <c r="F51" s="37" t="s">
        <v>848</v>
      </c>
      <c r="G51" s="37" t="s">
        <v>848</v>
      </c>
      <c r="H51" s="38" t="s">
        <v>872</v>
      </c>
      <c r="I51" s="37">
        <v>0</v>
      </c>
      <c r="J51" s="23">
        <f t="shared" si="0"/>
        <v>1</v>
      </c>
      <c r="K51" s="39">
        <f>IF($J51=1,$I51/$E51*'Risk Bands (Config)'!$B$5,"")</f>
        <v>0</v>
      </c>
      <c r="L51" s="23">
        <f>IF(AND($D51="Yes",$J51=1,$I51/$E51*'Risk Bands (Config)'!$B$5&gt;='Risk Bands (Config)'!$B$6),1,0)</f>
        <v>0</v>
      </c>
      <c r="M51" s="40" t="str">
        <f t="shared" si="1"/>
        <v>EWS-026</v>
      </c>
      <c r="N51" s="19" t="str">
        <f>IF($J51=1,IFERROR(INDEX('Scoring Engine (Rules)'!$O$5:$O$163,MATCH($A51&amp;"|"&amp;$I51,'Scoring Engine (Rules)'!$R$5:$R$163,0)),""),"")</f>
        <v>Normal — no change in business model; risk profile stable.</v>
      </c>
      <c r="O51" s="19" t="str">
        <f>IF($J51=1,IFERROR(INDEX('Scoring Engine (Rules)'!$P$5:$P$163,MATCH($A51&amp;"|"&amp;$I51,'Scoring Engine (Rules)'!$R$5:$R$163,0)),""),"")</f>
        <v>No remedial action required. Continue routine monitoring at the standard review cycle and record the reading.</v>
      </c>
      <c r="P51" s="19" t="str">
        <f>IF($J51=1,IFERROR(INDEX('Scoring Engine (Rules)'!$Q$5:$Q$163,MATCH($A51&amp;"|"&amp;$I51,'Scoring Engine (Rules)'!$R$5:$R$163,0)),""),"")</f>
        <v>RM (routine)</v>
      </c>
    </row>
    <row r="52" spans="1:16" ht="60" customHeight="1" x14ac:dyDescent="0.35">
      <c r="A52" s="22" t="s">
        <v>237</v>
      </c>
      <c r="B52" s="19" t="s">
        <v>238</v>
      </c>
      <c r="C52" s="18" t="s">
        <v>30</v>
      </c>
      <c r="D52" s="23" t="str">
        <f>INDEX('Indicator Master'!$F$4:$F$46,MATCH($A52,'Indicator Master'!$A$4:$A$46,0))</f>
        <v>No</v>
      </c>
      <c r="E52" s="22">
        <f>INDEX('Indicator Master'!$N$4:$N$46,MATCH($A52,'Indicator Master'!$A$4:$A$46,0))</f>
        <v>40</v>
      </c>
      <c r="F52" s="37" t="s">
        <v>848</v>
      </c>
      <c r="G52" s="37" t="s">
        <v>862</v>
      </c>
      <c r="H52" s="38" t="s">
        <v>864</v>
      </c>
      <c r="I52" s="37"/>
      <c r="J52" s="23">
        <f t="shared" si="0"/>
        <v>0</v>
      </c>
      <c r="K52" s="39" t="str">
        <f>IF($J52=1,$I52/$E52*'Risk Bands (Config)'!$B$5,"")</f>
        <v/>
      </c>
      <c r="L52" s="23">
        <f>IF(AND($D52="Yes",$J52=1,$I52/$E52*'Risk Bands (Config)'!$B$5&gt;='Risk Bands (Config)'!$B$6),1,0)</f>
        <v>0</v>
      </c>
      <c r="M52" s="40" t="str">
        <f t="shared" si="1"/>
        <v>EWS-026</v>
      </c>
      <c r="N52" s="19" t="str">
        <f>IF($J52=1,IFERROR(INDEX('Scoring Engine (Rules)'!$O$5:$O$163,MATCH($A52&amp;"|"&amp;$I52,'Scoring Engine (Rules)'!$R$5:$R$163,0)),""),"")</f>
        <v/>
      </c>
      <c r="O52" s="19" t="str">
        <f>IF($J52=1,IFERROR(INDEX('Scoring Engine (Rules)'!$P$5:$P$163,MATCH($A52&amp;"|"&amp;$I52,'Scoring Engine (Rules)'!$R$5:$R$163,0)),""),"")</f>
        <v/>
      </c>
      <c r="P52" s="19" t="str">
        <f>IF($J52=1,IFERROR(INDEX('Scoring Engine (Rules)'!$Q$5:$Q$163,MATCH($A52&amp;"|"&amp;$I52,'Scoring Engine (Rules)'!$R$5:$R$163,0)),""),"")</f>
        <v/>
      </c>
    </row>
    <row r="53" spans="1:16" ht="60" customHeight="1" x14ac:dyDescent="0.35">
      <c r="A53" s="22" t="s">
        <v>246</v>
      </c>
      <c r="B53" s="19" t="s">
        <v>247</v>
      </c>
      <c r="C53" s="18" t="s">
        <v>30</v>
      </c>
      <c r="D53" s="23" t="str">
        <f>INDEX('Indicator Master'!$F$4:$F$46,MATCH($A53,'Indicator Master'!$A$4:$A$46,0))</f>
        <v>No</v>
      </c>
      <c r="E53" s="22">
        <f>INDEX('Indicator Master'!$N$4:$N$46,MATCH($A53,'Indicator Master'!$A$4:$A$46,0))</f>
        <v>50</v>
      </c>
      <c r="F53" s="37" t="s">
        <v>848</v>
      </c>
      <c r="G53" s="37" t="s">
        <v>848</v>
      </c>
      <c r="H53" s="38" t="s">
        <v>873</v>
      </c>
      <c r="I53" s="37">
        <v>0</v>
      </c>
      <c r="J53" s="23">
        <f t="shared" si="0"/>
        <v>1</v>
      </c>
      <c r="K53" s="39">
        <f>IF($J53=1,$I53/$E53*'Risk Bands (Config)'!$B$5,"")</f>
        <v>0</v>
      </c>
      <c r="L53" s="23">
        <f>IF(AND($D53="Yes",$J53=1,$I53/$E53*'Risk Bands (Config)'!$B$5&gt;='Risk Bands (Config)'!$B$6),1,0)</f>
        <v>0</v>
      </c>
      <c r="M53" s="40" t="str">
        <f t="shared" si="1"/>
        <v>EWS-026</v>
      </c>
      <c r="N53" s="19" t="str">
        <f>IF($J53=1,IFERROR(INDEX('Scoring Engine (Rules)'!$O$5:$O$163,MATCH($A53&amp;"|"&amp;$I53,'Scoring Engine (Rules)'!$R$5:$R$163,0)),""),"")</f>
        <v>Normal — no adverse news; reputation intact.</v>
      </c>
      <c r="O53" s="19" t="str">
        <f>IF($J53=1,IFERROR(INDEX('Scoring Engine (Rules)'!$P$5:$P$163,MATCH($A53&amp;"|"&amp;$I53,'Scoring Engine (Rules)'!$R$5:$R$163,0)),""),"")</f>
        <v>No remedial action required. Continue routine monitoring at the standard review cycle and record the reading.</v>
      </c>
      <c r="P53" s="19" t="str">
        <f>IF($J53=1,IFERROR(INDEX('Scoring Engine (Rules)'!$Q$5:$Q$163,MATCH($A53&amp;"|"&amp;$I53,'Scoring Engine (Rules)'!$R$5:$R$163,0)),""),"")</f>
        <v>RM (routine)</v>
      </c>
    </row>
    <row r="54" spans="1:16" ht="60" customHeight="1" x14ac:dyDescent="0.35">
      <c r="A54" s="22" t="s">
        <v>255</v>
      </c>
      <c r="B54" s="19" t="s">
        <v>256</v>
      </c>
      <c r="C54" s="18" t="s">
        <v>30</v>
      </c>
      <c r="D54" s="23" t="str">
        <f>INDEX('Indicator Master'!$F$4:$F$46,MATCH($A54,'Indicator Master'!$A$4:$A$46,0))</f>
        <v>Yes</v>
      </c>
      <c r="E54" s="22">
        <f>INDEX('Indicator Master'!$N$4:$N$46,MATCH($A54,'Indicator Master'!$A$4:$A$46,0))</f>
        <v>40</v>
      </c>
      <c r="F54" s="37" t="s">
        <v>848</v>
      </c>
      <c r="G54" s="37" t="s">
        <v>848</v>
      </c>
      <c r="H54" s="38" t="s">
        <v>874</v>
      </c>
      <c r="I54" s="37">
        <v>0</v>
      </c>
      <c r="J54" s="23">
        <f t="shared" si="0"/>
        <v>1</v>
      </c>
      <c r="K54" s="39">
        <f>IF($J54=1,$I54/$E54*'Risk Bands (Config)'!$B$5,"")</f>
        <v>0</v>
      </c>
      <c r="L54" s="23">
        <f>IF(AND($D54="Yes",$J54=1,$I54/$E54*'Risk Bands (Config)'!$B$5&gt;='Risk Bands (Config)'!$B$6),1,0)</f>
        <v>0</v>
      </c>
      <c r="M54" s="40" t="str">
        <f t="shared" si="1"/>
        <v>EWS-026</v>
      </c>
      <c r="N54" s="19" t="str">
        <f>IF($J54=1,IFERROR(INDEX('Scoring Engine (Rules)'!$O$5:$O$163,MATCH($A54&amp;"|"&amp;$I54,'Scoring Engine (Rules)'!$R$5:$R$163,0)),""),"")</f>
        <v>Normal — no/minor complaints; normal counterparty relations.</v>
      </c>
      <c r="O54" s="19" t="str">
        <f>IF($J54=1,IFERROR(INDEX('Scoring Engine (Rules)'!$P$5:$P$163,MATCH($A54&amp;"|"&amp;$I54,'Scoring Engine (Rules)'!$R$5:$R$163,0)),""),"")</f>
        <v>No remedial action required. Continue routine monitoring at the standard review cycle and record the reading.</v>
      </c>
      <c r="P54" s="19" t="str">
        <f>IF($J54=1,IFERROR(INDEX('Scoring Engine (Rules)'!$Q$5:$Q$163,MATCH($A54&amp;"|"&amp;$I54,'Scoring Engine (Rules)'!$R$5:$R$163,0)),""),"")</f>
        <v>RM (routine)</v>
      </c>
    </row>
    <row r="55" spans="1:16" ht="60" customHeight="1" x14ac:dyDescent="0.35">
      <c r="A55" s="22" t="s">
        <v>261</v>
      </c>
      <c r="B55" s="19" t="s">
        <v>262</v>
      </c>
      <c r="C55" s="18" t="s">
        <v>30</v>
      </c>
      <c r="D55" s="23" t="str">
        <f>INDEX('Indicator Master'!$F$4:$F$46,MATCH($A55,'Indicator Master'!$A$4:$A$46,0))</f>
        <v>No</v>
      </c>
      <c r="E55" s="22">
        <f>INDEX('Indicator Master'!$N$4:$N$46,MATCH($A55,'Indicator Master'!$A$4:$A$46,0))</f>
        <v>40</v>
      </c>
      <c r="F55" s="37" t="s">
        <v>848</v>
      </c>
      <c r="G55" s="37" t="s">
        <v>848</v>
      </c>
      <c r="H55" s="38" t="s">
        <v>875</v>
      </c>
      <c r="I55" s="37">
        <v>0</v>
      </c>
      <c r="J55" s="23">
        <f t="shared" si="0"/>
        <v>1</v>
      </c>
      <c r="K55" s="39">
        <f>IF($J55=1,$I55/$E55*'Risk Bands (Config)'!$B$5,"")</f>
        <v>0</v>
      </c>
      <c r="L55" s="23">
        <f>IF(AND($D55="Yes",$J55=1,$I55/$E55*'Risk Bands (Config)'!$B$5&gt;='Risk Bands (Config)'!$B$6),1,0)</f>
        <v>0</v>
      </c>
      <c r="M55" s="40" t="str">
        <f t="shared" si="1"/>
        <v>EWS-026</v>
      </c>
      <c r="N55" s="19" t="str">
        <f>IF($J55=1,IFERROR(INDEX('Scoring Engine (Rules)'!$O$5:$O$163,MATCH($A55&amp;"|"&amp;$I55,'Scoring Engine (Rules)'!$R$5:$R$163,0)),""),"")</f>
        <v>Normal — normal operations; no workforce disruption.</v>
      </c>
      <c r="O55" s="19" t="str">
        <f>IF($J55=1,IFERROR(INDEX('Scoring Engine (Rules)'!$P$5:$P$163,MATCH($A55&amp;"|"&amp;$I55,'Scoring Engine (Rules)'!$R$5:$R$163,0)),""),"")</f>
        <v>No remedial action required. Continue routine monitoring at the standard review cycle and record the reading.</v>
      </c>
      <c r="P55" s="19" t="str">
        <f>IF($J55=1,IFERROR(INDEX('Scoring Engine (Rules)'!$Q$5:$Q$163,MATCH($A55&amp;"|"&amp;$I55,'Scoring Engine (Rules)'!$R$5:$R$163,0)),""),"")</f>
        <v>RM (routine)</v>
      </c>
    </row>
    <row r="56" spans="1:16" ht="60" customHeight="1" x14ac:dyDescent="0.35">
      <c r="A56" s="22" t="s">
        <v>270</v>
      </c>
      <c r="B56" s="19" t="s">
        <v>271</v>
      </c>
      <c r="C56" s="18" t="s">
        <v>30</v>
      </c>
      <c r="D56" s="23" t="str">
        <f>INDEX('Indicator Master'!$F$4:$F$46,MATCH($A56,'Indicator Master'!$A$4:$A$46,0))</f>
        <v>No</v>
      </c>
      <c r="E56" s="22">
        <f>INDEX('Indicator Master'!$N$4:$N$46,MATCH($A56,'Indicator Master'!$A$4:$A$46,0))</f>
        <v>30</v>
      </c>
      <c r="F56" s="37" t="s">
        <v>848</v>
      </c>
      <c r="G56" s="37" t="s">
        <v>848</v>
      </c>
      <c r="H56" s="38" t="s">
        <v>876</v>
      </c>
      <c r="I56" s="37">
        <v>10</v>
      </c>
      <c r="J56" s="23">
        <f t="shared" si="0"/>
        <v>1</v>
      </c>
      <c r="K56" s="39">
        <f>IF($J56=1,$I56/$E56*'Risk Bands (Config)'!$B$5,"")</f>
        <v>33.333333333333329</v>
      </c>
      <c r="L56" s="23">
        <f>IF(AND($D56="Yes",$J56=1,$I56/$E56*'Risk Bands (Config)'!$B$5&gt;='Risk Bands (Config)'!$B$6),1,0)</f>
        <v>0</v>
      </c>
      <c r="M56" s="40" t="str">
        <f t="shared" si="1"/>
        <v>EWS-026</v>
      </c>
      <c r="N56" s="19" t="str">
        <f>IF($J56=1,IFERROR(INDEX('Scoring Engine (Rules)'!$O$5:$O$163,MATCH($A56&amp;"|"&amp;$I56,'Scoring Engine (Rules)'!$R$5:$R$163,0)),""),"")</f>
        <v>Early warning — utilisation 85–90%; slight easing of throughput.</v>
      </c>
      <c r="O56" s="19" t="str">
        <f>IF($J56=1,IFERROR(INDEX('Scoring Engine (Rules)'!$P$5:$P$163,MATCH($A56&amp;"|"&amp;$I56,'Scoring Engine (Rules)'!$R$5:$R$163,0)),""),"")</f>
        <v>1) Note the dip; confirm the cause. 2) Watch next cycle.</v>
      </c>
      <c r="P56" s="19" t="str">
        <f>IF($J56=1,IFERROR(INDEX('Scoring Engine (Rules)'!$Q$5:$Q$163,MATCH($A56&amp;"|"&amp;$I56,'Scoring Engine (Rules)'!$R$5:$R$163,0)),""),"")</f>
        <v>RM + Credit Analyst</v>
      </c>
    </row>
    <row r="57" spans="1:16" ht="60" customHeight="1" x14ac:dyDescent="0.35">
      <c r="A57" s="22" t="s">
        <v>276</v>
      </c>
      <c r="B57" s="19" t="s">
        <v>277</v>
      </c>
      <c r="C57" s="18" t="s">
        <v>30</v>
      </c>
      <c r="D57" s="23" t="str">
        <f>INDEX('Indicator Master'!$F$4:$F$46,MATCH($A57,'Indicator Master'!$A$4:$A$46,0))</f>
        <v>Yes</v>
      </c>
      <c r="E57" s="22">
        <f>INDEX('Indicator Master'!$N$4:$N$46,MATCH($A57,'Indicator Master'!$A$4:$A$46,0))</f>
        <v>50</v>
      </c>
      <c r="F57" s="37" t="s">
        <v>848</v>
      </c>
      <c r="G57" s="37" t="s">
        <v>848</v>
      </c>
      <c r="H57" s="38" t="s">
        <v>877</v>
      </c>
      <c r="I57" s="37">
        <v>0</v>
      </c>
      <c r="J57" s="23">
        <f t="shared" si="0"/>
        <v>1</v>
      </c>
      <c r="K57" s="39">
        <f>IF($J57=1,$I57/$E57*'Risk Bands (Config)'!$B$5,"")</f>
        <v>0</v>
      </c>
      <c r="L57" s="23">
        <f>IF(AND($D57="Yes",$J57=1,$I57/$E57*'Risk Bands (Config)'!$B$5&gt;='Risk Bands (Config)'!$B$6),1,0)</f>
        <v>0</v>
      </c>
      <c r="M57" s="40" t="str">
        <f t="shared" si="1"/>
        <v>EWS-026</v>
      </c>
      <c r="N57" s="19" t="str">
        <f>IF($J57=1,IFERROR(INDEX('Scoring Engine (Rules)'!$O$5:$O$163,MATCH($A57&amp;"|"&amp;$I57,'Scoring Engine (Rules)'!$R$5:$R$163,0)),""),"")</f>
        <v>Normal — site visit satisfactory; unit operating normally.</v>
      </c>
      <c r="O57" s="19" t="str">
        <f>IF($J57=1,IFERROR(INDEX('Scoring Engine (Rules)'!$P$5:$P$163,MATCH($A57&amp;"|"&amp;$I57,'Scoring Engine (Rules)'!$R$5:$R$163,0)),""),"")</f>
        <v>No remedial action required. Continue routine monitoring at the standard review cycle and record the reading.</v>
      </c>
      <c r="P57" s="19" t="str">
        <f>IF($J57=1,IFERROR(INDEX('Scoring Engine (Rules)'!$Q$5:$Q$163,MATCH($A57&amp;"|"&amp;$I57,'Scoring Engine (Rules)'!$R$5:$R$163,0)),""),"")</f>
        <v>RM (routine)</v>
      </c>
    </row>
    <row r="58" spans="1:16" ht="60" customHeight="1" x14ac:dyDescent="0.35">
      <c r="A58" s="22" t="s">
        <v>282</v>
      </c>
      <c r="B58" s="19" t="s">
        <v>283</v>
      </c>
      <c r="C58" s="18" t="s">
        <v>30</v>
      </c>
      <c r="D58" s="23" t="str">
        <f>INDEX('Indicator Master'!$F$4:$F$46,MATCH($A58,'Indicator Master'!$A$4:$A$46,0))</f>
        <v>No</v>
      </c>
      <c r="E58" s="22">
        <f>INDEX('Indicator Master'!$N$4:$N$46,MATCH($A58,'Indicator Master'!$A$4:$A$46,0))</f>
        <v>50</v>
      </c>
      <c r="F58" s="37" t="s">
        <v>848</v>
      </c>
      <c r="G58" s="37" t="s">
        <v>848</v>
      </c>
      <c r="H58" s="38" t="s">
        <v>878</v>
      </c>
      <c r="I58" s="37">
        <v>0</v>
      </c>
      <c r="J58" s="23">
        <f t="shared" si="0"/>
        <v>1</v>
      </c>
      <c r="K58" s="39">
        <f>IF($J58=1,$I58/$E58*'Risk Bands (Config)'!$B$5,"")</f>
        <v>0</v>
      </c>
      <c r="L58" s="23">
        <f>IF(AND($D58="Yes",$J58=1,$I58/$E58*'Risk Bands (Config)'!$B$5&gt;='Risk Bands (Config)'!$B$6),1,0)</f>
        <v>0</v>
      </c>
      <c r="M58" s="40" t="str">
        <f t="shared" si="1"/>
        <v>EWS-026</v>
      </c>
      <c r="N58" s="19" t="str">
        <f>IF($J58=1,IFERROR(INDEX('Scoring Engine (Rules)'!$O$5:$O$163,MATCH($A58&amp;"|"&amp;$I58,'Scoring Engine (Rules)'!$R$5:$R$163,0)),""),"")</f>
        <v>Normal — no round-tripping indicators; clean fund flow.</v>
      </c>
      <c r="O58" s="19" t="str">
        <f>IF($J58=1,IFERROR(INDEX('Scoring Engine (Rules)'!$P$5:$P$163,MATCH($A58&amp;"|"&amp;$I58,'Scoring Engine (Rules)'!$R$5:$R$163,0)),""),"")</f>
        <v>No remedial action required. Continue routine monitoring at the standard review cycle and record the reading.</v>
      </c>
      <c r="P58" s="19" t="str">
        <f>IF($J58=1,IFERROR(INDEX('Scoring Engine (Rules)'!$Q$5:$Q$163,MATCH($A58&amp;"|"&amp;$I58,'Scoring Engine (Rules)'!$R$5:$R$163,0)),""),"")</f>
        <v>RM (routine)</v>
      </c>
    </row>
    <row r="59" spans="1:16" ht="60" customHeight="1" x14ac:dyDescent="0.35">
      <c r="A59" s="22" t="s">
        <v>289</v>
      </c>
      <c r="B59" s="19" t="s">
        <v>290</v>
      </c>
      <c r="C59" s="18" t="s">
        <v>30</v>
      </c>
      <c r="D59" s="23" t="str">
        <f>INDEX('Indicator Master'!$F$4:$F$46,MATCH($A59,'Indicator Master'!$A$4:$A$46,0))</f>
        <v>No</v>
      </c>
      <c r="E59" s="22">
        <f>INDEX('Indicator Master'!$N$4:$N$46,MATCH($A59,'Indicator Master'!$A$4:$A$46,0))</f>
        <v>50</v>
      </c>
      <c r="F59" s="37" t="s">
        <v>848</v>
      </c>
      <c r="G59" s="37" t="s">
        <v>848</v>
      </c>
      <c r="H59" s="38" t="s">
        <v>866</v>
      </c>
      <c r="I59" s="37">
        <v>0</v>
      </c>
      <c r="J59" s="23">
        <f t="shared" si="0"/>
        <v>1</v>
      </c>
      <c r="K59" s="39">
        <f>IF($J59=1,$I59/$E59*'Risk Bands (Config)'!$B$5,"")</f>
        <v>0</v>
      </c>
      <c r="L59" s="23">
        <f>IF(AND($D59="Yes",$J59=1,$I59/$E59*'Risk Bands (Config)'!$B$5&gt;='Risk Bands (Config)'!$B$6),1,0)</f>
        <v>0</v>
      </c>
      <c r="M59" s="40" t="str">
        <f t="shared" si="1"/>
        <v>EWS-026</v>
      </c>
      <c r="N59" s="19" t="str">
        <f>IF($J59=1,IFERROR(INDEX('Scoring Engine (Rules)'!$O$5:$O$163,MATCH($A59&amp;"|"&amp;$I59,'Scoring Engine (Rules)'!$R$5:$R$163,0)),""),"")</f>
        <v>Normal — no ESG/environmental issue; compliant operations.</v>
      </c>
      <c r="O59" s="19" t="str">
        <f>IF($J59=1,IFERROR(INDEX('Scoring Engine (Rules)'!$P$5:$P$163,MATCH($A59&amp;"|"&amp;$I59,'Scoring Engine (Rules)'!$R$5:$R$163,0)),""),"")</f>
        <v>No remedial action required. Continue routine monitoring at the standard review cycle and record the reading.</v>
      </c>
      <c r="P59" s="19" t="str">
        <f>IF($J59=1,IFERROR(INDEX('Scoring Engine (Rules)'!$Q$5:$Q$163,MATCH($A59&amp;"|"&amp;$I59,'Scoring Engine (Rules)'!$R$5:$R$163,0)),""),"")</f>
        <v>RM (routine)</v>
      </c>
    </row>
    <row r="60" spans="1:16" ht="60" customHeight="1" x14ac:dyDescent="0.35">
      <c r="A60" s="22" t="s">
        <v>296</v>
      </c>
      <c r="B60" s="19" t="s">
        <v>297</v>
      </c>
      <c r="C60" s="18" t="s">
        <v>30</v>
      </c>
      <c r="D60" s="23" t="str">
        <f>INDEX('Indicator Master'!$F$4:$F$46,MATCH($A60,'Indicator Master'!$A$4:$A$46,0))</f>
        <v>No</v>
      </c>
      <c r="E60" s="22">
        <f>INDEX('Indicator Master'!$N$4:$N$46,MATCH($A60,'Indicator Master'!$A$4:$A$46,0))</f>
        <v>40</v>
      </c>
      <c r="F60" s="37" t="s">
        <v>848</v>
      </c>
      <c r="G60" s="37" t="s">
        <v>848</v>
      </c>
      <c r="H60" s="38" t="s">
        <v>879</v>
      </c>
      <c r="I60" s="37">
        <v>0</v>
      </c>
      <c r="J60" s="23">
        <f t="shared" si="0"/>
        <v>1</v>
      </c>
      <c r="K60" s="39">
        <f>IF($J60=1,$I60/$E60*'Risk Bands (Config)'!$B$5,"")</f>
        <v>0</v>
      </c>
      <c r="L60" s="23">
        <f>IF(AND($D60="Yes",$J60=1,$I60/$E60*'Risk Bands (Config)'!$B$5&gt;='Risk Bands (Config)'!$B$6),1,0)</f>
        <v>0</v>
      </c>
      <c r="M60" s="40" t="str">
        <f t="shared" si="1"/>
        <v>EWS-026</v>
      </c>
      <c r="N60" s="19" t="str">
        <f>IF($J60=1,IFERROR(INDEX('Scoring Engine (Rules)'!$O$5:$O$163,MATCH($A60&amp;"|"&amp;$I60,'Scoring Engine (Rules)'!$R$5:$R$163,0)),""),"")</f>
        <v>Normal — carbon/emission within norms; no transition-risk concern.</v>
      </c>
      <c r="O60" s="19" t="str">
        <f>IF($J60=1,IFERROR(INDEX('Scoring Engine (Rules)'!$P$5:$P$163,MATCH($A60&amp;"|"&amp;$I60,'Scoring Engine (Rules)'!$R$5:$R$163,0)),""),"")</f>
        <v>No remedial action required. Continue routine monitoring at the standard review cycle and record the reading.</v>
      </c>
      <c r="P60" s="19" t="str">
        <f>IF($J60=1,IFERROR(INDEX('Scoring Engine (Rules)'!$Q$5:$Q$163,MATCH($A60&amp;"|"&amp;$I60,'Scoring Engine (Rules)'!$R$5:$R$163,0)),""),"")</f>
        <v>RM (routine)</v>
      </c>
    </row>
    <row r="61" spans="1:16" ht="60" customHeight="1" x14ac:dyDescent="0.35">
      <c r="A61" s="22" t="s">
        <v>305</v>
      </c>
      <c r="B61" s="19" t="s">
        <v>306</v>
      </c>
      <c r="C61" s="18" t="s">
        <v>30</v>
      </c>
      <c r="D61" s="23" t="str">
        <f>INDEX('Indicator Master'!$F$4:$F$46,MATCH($A61,'Indicator Master'!$A$4:$A$46,0))</f>
        <v>No</v>
      </c>
      <c r="E61" s="22">
        <f>INDEX('Indicator Master'!$N$4:$N$46,MATCH($A61,'Indicator Master'!$A$4:$A$46,0))</f>
        <v>50</v>
      </c>
      <c r="F61" s="37" t="s">
        <v>848</v>
      </c>
      <c r="G61" s="37" t="s">
        <v>848</v>
      </c>
      <c r="H61" s="38" t="s">
        <v>880</v>
      </c>
      <c r="I61" s="37">
        <v>0</v>
      </c>
      <c r="J61" s="23">
        <f t="shared" si="0"/>
        <v>1</v>
      </c>
      <c r="K61" s="39">
        <f>IF($J61=1,$I61/$E61*'Risk Bands (Config)'!$B$5,"")</f>
        <v>0</v>
      </c>
      <c r="L61" s="23">
        <f>IF(AND($D61="Yes",$J61=1,$I61/$E61*'Risk Bands (Config)'!$B$5&gt;='Risk Bands (Config)'!$B$6),1,0)</f>
        <v>0</v>
      </c>
      <c r="M61" s="40" t="str">
        <f t="shared" si="1"/>
        <v>EWS-026</v>
      </c>
      <c r="N61" s="19" t="str">
        <f>IF($J61=1,IFERROR(INDEX('Scoring Engine (Rules)'!$O$5:$O$163,MATCH($A61&amp;"|"&amp;$I61,'Scoring Engine (Rules)'!$R$5:$R$163,0)),""),"")</f>
        <v>Normal — no change in depreciation method; reporting consistent.</v>
      </c>
      <c r="O61" s="19" t="str">
        <f>IF($J61=1,IFERROR(INDEX('Scoring Engine (Rules)'!$P$5:$P$163,MATCH($A61&amp;"|"&amp;$I61,'Scoring Engine (Rules)'!$R$5:$R$163,0)),""),"")</f>
        <v>No remedial action required. Continue routine monitoring at the standard review cycle and record the reading.</v>
      </c>
      <c r="P61" s="19" t="str">
        <f>IF($J61=1,IFERROR(INDEX('Scoring Engine (Rules)'!$Q$5:$Q$163,MATCH($A61&amp;"|"&amp;$I61,'Scoring Engine (Rules)'!$R$5:$R$163,0)),""),"")</f>
        <v>RM (routine)</v>
      </c>
    </row>
    <row r="62" spans="1:16" ht="60" customHeight="1" x14ac:dyDescent="0.35">
      <c r="A62" s="22" t="s">
        <v>313</v>
      </c>
      <c r="B62" s="19" t="s">
        <v>314</v>
      </c>
      <c r="C62" s="18" t="s">
        <v>30</v>
      </c>
      <c r="D62" s="23" t="str">
        <f>INDEX('Indicator Master'!$F$4:$F$46,MATCH($A62,'Indicator Master'!$A$4:$A$46,0))</f>
        <v>No</v>
      </c>
      <c r="E62" s="22">
        <f>INDEX('Indicator Master'!$N$4:$N$46,MATCH($A62,'Indicator Master'!$A$4:$A$46,0))</f>
        <v>50</v>
      </c>
      <c r="F62" s="37" t="s">
        <v>848</v>
      </c>
      <c r="G62" s="37" t="s">
        <v>848</v>
      </c>
      <c r="H62" s="38" t="s">
        <v>880</v>
      </c>
      <c r="I62" s="37">
        <v>0</v>
      </c>
      <c r="J62" s="23">
        <f t="shared" si="0"/>
        <v>1</v>
      </c>
      <c r="K62" s="39">
        <f>IF($J62=1,$I62/$E62*'Risk Bands (Config)'!$B$5,"")</f>
        <v>0</v>
      </c>
      <c r="L62" s="23">
        <f>IF(AND($D62="Yes",$J62=1,$I62/$E62*'Risk Bands (Config)'!$B$5&gt;='Risk Bands (Config)'!$B$6),1,0)</f>
        <v>0</v>
      </c>
      <c r="M62" s="40" t="str">
        <f t="shared" si="1"/>
        <v>EWS-026</v>
      </c>
      <c r="N62" s="19" t="str">
        <f>IF($J62=1,IFERROR(INDEX('Scoring Engine (Rules)'!$O$5:$O$163,MATCH($A62&amp;"|"&amp;$I62,'Scoring Engine (Rules)'!$R$5:$R$163,0)),""),"")</f>
        <v>Normal — no change in inventory-valuation method; reporting consistent.</v>
      </c>
      <c r="O62" s="19" t="str">
        <f>IF($J62=1,IFERROR(INDEX('Scoring Engine (Rules)'!$P$5:$P$163,MATCH($A62&amp;"|"&amp;$I62,'Scoring Engine (Rules)'!$R$5:$R$163,0)),""),"")</f>
        <v>No remedial action required. Continue routine monitoring at the standard review cycle and record the reading.</v>
      </c>
      <c r="P62" s="19" t="str">
        <f>IF($J62=1,IFERROR(INDEX('Scoring Engine (Rules)'!$Q$5:$Q$163,MATCH($A62&amp;"|"&amp;$I62,'Scoring Engine (Rules)'!$R$5:$R$163,0)),""),"")</f>
        <v>RM (routine)</v>
      </c>
    </row>
    <row r="63" spans="1:16" ht="60" customHeight="1" x14ac:dyDescent="0.35">
      <c r="A63" s="22" t="s">
        <v>318</v>
      </c>
      <c r="B63" s="19" t="s">
        <v>319</v>
      </c>
      <c r="C63" s="18" t="s">
        <v>30</v>
      </c>
      <c r="D63" s="23" t="str">
        <f>INDEX('Indicator Master'!$F$4:$F$46,MATCH($A63,'Indicator Master'!$A$4:$A$46,0))</f>
        <v>No</v>
      </c>
      <c r="E63" s="22">
        <f>INDEX('Indicator Master'!$N$4:$N$46,MATCH($A63,'Indicator Master'!$A$4:$A$46,0))</f>
        <v>40</v>
      </c>
      <c r="F63" s="37" t="s">
        <v>848</v>
      </c>
      <c r="G63" s="37" t="s">
        <v>848</v>
      </c>
      <c r="H63" s="38" t="s">
        <v>879</v>
      </c>
      <c r="I63" s="37">
        <v>40</v>
      </c>
      <c r="J63" s="23">
        <f t="shared" si="0"/>
        <v>1</v>
      </c>
      <c r="K63" s="39">
        <f>IF($J63=1,$I63/$E63*'Risk Bands (Config)'!$B$5,"")</f>
        <v>100</v>
      </c>
      <c r="L63" s="23">
        <f>IF(AND($D63="Yes",$J63=1,$I63/$E63*'Risk Bands (Config)'!$B$5&gt;='Risk Bands (Config)'!$B$6),1,0)</f>
        <v>0</v>
      </c>
      <c r="M63" s="40" t="str">
        <f t="shared" si="1"/>
        <v>EWS-026</v>
      </c>
      <c r="N63" s="19" t="str">
        <f>IF($J63=1,IFERROR(INDEX('Scoring Engine (Rules)'!$O$5:$O$163,MATCH($A63&amp;"|"&amp;$I63,'Scoring Engine (Rules)'!$R$5:$R$163,0)),""),"")</f>
        <v>Severe / critical — DSCR below 1.25; thin-to-inadequate coverage, cash accruals may not comfortably cover debt service.</v>
      </c>
      <c r="O63" s="19" t="str">
        <f>IF($J63=1,IFERROR(INDEX('Scoring Engine (Rules)'!$P$5:$P$163,MATCH($A63&amp;"|"&amp;$I63,'Scoring Engine (Rules)'!$R$5:$R$163,0)),""),"")</f>
        <v>1) Reassess repayment capacity, refinancing risk and viability. 2) Corrective / restructuring assessment. 3) Escalate to Credit.</v>
      </c>
      <c r="P63" s="19" t="str">
        <f>IF($J63=1,IFERROR(INDEX('Scoring Engine (Rules)'!$Q$5:$Q$163,MATCH($A63&amp;"|"&amp;$I63,'Scoring Engine (Rules)'!$R$5:$R$163,0)),""),"")</f>
        <v>Credit Head / Risk</v>
      </c>
    </row>
    <row r="64" spans="1:16" ht="60" customHeight="1" x14ac:dyDescent="0.35">
      <c r="A64" s="22" t="s">
        <v>328</v>
      </c>
      <c r="B64" s="19" t="s">
        <v>329</v>
      </c>
      <c r="C64" s="18" t="s">
        <v>30</v>
      </c>
      <c r="D64" s="23" t="str">
        <f>INDEX('Indicator Master'!$F$4:$F$46,MATCH($A64,'Indicator Master'!$A$4:$A$46,0))</f>
        <v>No</v>
      </c>
      <c r="E64" s="22">
        <f>INDEX('Indicator Master'!$N$4:$N$46,MATCH($A64,'Indicator Master'!$A$4:$A$46,0))</f>
        <v>40</v>
      </c>
      <c r="F64" s="37" t="s">
        <v>848</v>
      </c>
      <c r="G64" s="37" t="s">
        <v>848</v>
      </c>
      <c r="H64" s="38" t="s">
        <v>879</v>
      </c>
      <c r="I64" s="37">
        <v>40</v>
      </c>
      <c r="J64" s="23">
        <f t="shared" si="0"/>
        <v>1</v>
      </c>
      <c r="K64" s="39">
        <f>IF($J64=1,$I64/$E64*'Risk Bands (Config)'!$B$5,"")</f>
        <v>100</v>
      </c>
      <c r="L64" s="23">
        <f>IF(AND($D64="Yes",$J64=1,$I64/$E64*'Risk Bands (Config)'!$B$5&gt;='Risk Bands (Config)'!$B$6),1,0)</f>
        <v>0</v>
      </c>
      <c r="M64" s="40" t="str">
        <f t="shared" si="1"/>
        <v>EWS-026</v>
      </c>
      <c r="N64" s="19" t="str">
        <f>IF($J64=1,IFERROR(INDEX('Scoring Engine (Rules)'!$O$5:$O$163,MATCH($A64&amp;"|"&amp;$I64,'Scoring Engine (Rules)'!$R$5:$R$163,0)),""),"")</f>
        <v>Severe / critical — leverage above 3.0; high/severe, thin net worth relative to debt and over-leverage risk.</v>
      </c>
      <c r="O64" s="19" t="str">
        <f>IF($J64=1,IFERROR(INDEX('Scoring Engine (Rules)'!$P$5:$P$163,MATCH($A64&amp;"|"&amp;$I64,'Scoring Engine (Rules)'!$R$5:$R$163,0)),""),"")</f>
        <v>1) Reassess leverage and net-worth adequacy; seek promoter infusion. 2) Corrective / viability review. 3) Escalate to Credit.</v>
      </c>
      <c r="P64" s="19" t="str">
        <f>IF($J64=1,IFERROR(INDEX('Scoring Engine (Rules)'!$Q$5:$Q$163,MATCH($A64&amp;"|"&amp;$I64,'Scoring Engine (Rules)'!$R$5:$R$163,0)),""),"")</f>
        <v>Credit Head / Risk</v>
      </c>
    </row>
    <row r="65" spans="1:16" ht="60" customHeight="1" x14ac:dyDescent="0.35">
      <c r="A65" s="22" t="s">
        <v>334</v>
      </c>
      <c r="B65" s="19" t="s">
        <v>335</v>
      </c>
      <c r="C65" s="18" t="s">
        <v>30</v>
      </c>
      <c r="D65" s="23" t="str">
        <f>INDEX('Indicator Master'!$F$4:$F$46,MATCH($A65,'Indicator Master'!$A$4:$A$46,0))</f>
        <v>No</v>
      </c>
      <c r="E65" s="22">
        <f>INDEX('Indicator Master'!$N$4:$N$46,MATCH($A65,'Indicator Master'!$A$4:$A$46,0))</f>
        <v>40</v>
      </c>
      <c r="F65" s="37" t="s">
        <v>848</v>
      </c>
      <c r="G65" s="37" t="s">
        <v>848</v>
      </c>
      <c r="H65" s="38" t="s">
        <v>879</v>
      </c>
      <c r="I65" s="37">
        <v>10</v>
      </c>
      <c r="J65" s="23">
        <f t="shared" si="0"/>
        <v>1</v>
      </c>
      <c r="K65" s="39">
        <f>IF($J65=1,$I65/$E65*'Risk Bands (Config)'!$B$5,"")</f>
        <v>25</v>
      </c>
      <c r="L65" s="23">
        <f>IF(AND($D65="Yes",$J65=1,$I65/$E65*'Risk Bands (Config)'!$B$5&gt;='Risk Bands (Config)'!$B$6),1,0)</f>
        <v>0</v>
      </c>
      <c r="M65" s="40" t="str">
        <f t="shared" si="1"/>
        <v>EWS-026</v>
      </c>
      <c r="N65" s="19" t="str">
        <f>IF($J65=1,IFERROR(INDEX('Scoring Engine (Rules)'!$O$5:$O$163,MATCH($A65&amp;"|"&amp;$I65,'Scoring Engine (Rules)'!$R$5:$R$163,0)),""),"")</f>
        <v>Early warning — current ratio 1.00–1.33; adequate but easing liquidity buffer.</v>
      </c>
      <c r="O65" s="19" t="str">
        <f>IF($J65=1,IFERROR(INDEX('Scoring Engine (Rules)'!$P$5:$P$163,MATCH($A65&amp;"|"&amp;$I65,'Scoring Engine (Rules)'!$R$5:$R$163,0)),""),"")</f>
        <v>1) Review the working-capital position and NWC adequacy. 2) Watch next statement.</v>
      </c>
      <c r="P65" s="19" t="str">
        <f>IF($J65=1,IFERROR(INDEX('Scoring Engine (Rules)'!$Q$5:$Q$163,MATCH($A65&amp;"|"&amp;$I65,'Scoring Engine (Rules)'!$R$5:$R$163,0)),""),"")</f>
        <v>Relationship Manager (Branch)</v>
      </c>
    </row>
    <row r="67" spans="1:16" ht="15" customHeight="1" x14ac:dyDescent="0.35">
      <c r="A67" s="7" t="s">
        <v>881</v>
      </c>
      <c r="B67" s="7"/>
      <c r="C67" s="7"/>
      <c r="D67" s="7"/>
      <c r="E67" s="7"/>
      <c r="F67" s="7"/>
      <c r="G67" s="7"/>
      <c r="H67" s="7"/>
      <c r="I67" s="7"/>
      <c r="J67" s="7"/>
      <c r="K67" s="7"/>
      <c r="L67" s="7"/>
      <c r="M67" s="7"/>
      <c r="N67" s="7"/>
      <c r="O67" s="7"/>
      <c r="P67" s="7"/>
    </row>
    <row r="68" spans="1:16" ht="15" customHeight="1" x14ac:dyDescent="0.35">
      <c r="A68" s="29" t="s">
        <v>882</v>
      </c>
      <c r="B68" s="41"/>
      <c r="C68" s="9" t="s">
        <v>883</v>
      </c>
      <c r="D68" s="9"/>
      <c r="E68" s="9"/>
      <c r="F68" s="9"/>
      <c r="G68" s="9"/>
      <c r="H68" s="9"/>
      <c r="I68" s="9"/>
      <c r="J68" s="9"/>
      <c r="K68" s="9"/>
      <c r="L68" s="9"/>
      <c r="M68" s="9"/>
      <c r="N68" s="9"/>
      <c r="O68" s="9"/>
      <c r="P68" s="9"/>
    </row>
    <row r="69" spans="1:16" ht="15" customHeight="1" x14ac:dyDescent="0.35">
      <c r="A69" s="29" t="s">
        <v>884</v>
      </c>
      <c r="B69" s="33" t="str">
        <f>IF($B$68="","(enter previous score)",$B$14-$B$68)</f>
        <v>(enter previous score)</v>
      </c>
      <c r="C69" s="9" t="s">
        <v>885</v>
      </c>
      <c r="D69" s="9"/>
      <c r="E69" s="9"/>
      <c r="F69" s="9"/>
      <c r="G69" s="9"/>
      <c r="H69" s="9"/>
      <c r="I69" s="9"/>
      <c r="J69" s="9"/>
      <c r="K69" s="9"/>
      <c r="L69" s="9"/>
      <c r="M69" s="9"/>
      <c r="N69" s="9"/>
      <c r="O69" s="9"/>
      <c r="P69" s="9"/>
    </row>
    <row r="70" spans="1:16" ht="15" customHeight="1" x14ac:dyDescent="0.35">
      <c r="A70" s="29" t="s">
        <v>886</v>
      </c>
      <c r="B70" s="30" t="str">
        <f>IF($B$12&gt;='Risk Bands (Config)'!$B$16,"Adequate","LOW — insufficient data; treat score as low-confidence")</f>
        <v>Adequate</v>
      </c>
      <c r="C70" s="9" t="s">
        <v>887</v>
      </c>
      <c r="D70" s="9"/>
      <c r="E70" s="9"/>
      <c r="F70" s="9"/>
      <c r="G70" s="9"/>
      <c r="H70" s="9"/>
      <c r="I70" s="9"/>
      <c r="J70" s="9"/>
      <c r="K70" s="9"/>
      <c r="L70" s="9"/>
      <c r="M70" s="9"/>
      <c r="N70" s="9"/>
      <c r="O70" s="9"/>
      <c r="P70" s="9"/>
    </row>
    <row r="72" spans="1:16" ht="15" customHeight="1" x14ac:dyDescent="0.35">
      <c r="A72" s="6" t="s">
        <v>888</v>
      </c>
      <c r="B72" s="6"/>
      <c r="C72" s="6"/>
      <c r="D72" s="6"/>
      <c r="E72" s="6"/>
      <c r="F72" s="6"/>
      <c r="G72" s="6"/>
      <c r="H72" s="6"/>
      <c r="I72" s="6"/>
      <c r="J72" s="6"/>
      <c r="K72" s="6"/>
      <c r="L72" s="6"/>
      <c r="M72" s="6"/>
      <c r="N72" s="6"/>
      <c r="O72" s="6"/>
      <c r="P72" s="6"/>
    </row>
    <row r="73" spans="1:16" ht="21.75" customHeight="1" x14ac:dyDescent="0.35">
      <c r="A73" s="36" t="s">
        <v>889</v>
      </c>
      <c r="B73" s="36" t="s">
        <v>890</v>
      </c>
      <c r="C73" s="36" t="s">
        <v>891</v>
      </c>
      <c r="D73" s="36" t="s">
        <v>892</v>
      </c>
      <c r="E73" s="36" t="s">
        <v>893</v>
      </c>
      <c r="F73" s="36" t="s">
        <v>894</v>
      </c>
      <c r="G73" s="36"/>
      <c r="H73" s="36"/>
      <c r="I73" s="36"/>
      <c r="J73" s="36"/>
      <c r="K73" s="36"/>
      <c r="L73" s="36"/>
      <c r="M73" s="36"/>
      <c r="N73" s="36"/>
      <c r="O73" s="36"/>
      <c r="P73" s="36"/>
    </row>
    <row r="74" spans="1:16" ht="53.25" customHeight="1" x14ac:dyDescent="0.35">
      <c r="A74" s="19" t="s">
        <v>895</v>
      </c>
      <c r="B74" s="19" t="str">
        <f>"EWS-004"&amp;" — "&amp;INDEX($B$23:$B$65,MATCH("EWS-004",$A$23:$A$65,0))</f>
        <v>EWS-004 — Payment Default Frequency</v>
      </c>
      <c r="C74" s="19" t="str">
        <f>"EWS-011"&amp;" — "&amp;INDEX($B$23:$B$65,MATCH("EWS-011",$A$23:$A$65,0))</f>
        <v xml:space="preserve">EWS-011 — Creditor days vs normal </v>
      </c>
      <c r="D74" s="23" t="str">
        <f>IF(AND($J$26=1,$I$26/$E$26*'Risk Bands (Config)'!$B$5&gt;='Risk Bands (Config)'!$B$23),"YES","NO")</f>
        <v>YES</v>
      </c>
      <c r="E74" s="23" t="str">
        <f>IF(AND($J$33=1,$I$33/$E$33*'Risk Bands (Config)'!$B$5&gt;='Risk Bands (Config)'!$B$23),"YES","NO")</f>
        <v>YES</v>
      </c>
      <c r="F74" s="23">
        <f>IF(AND($D74="YES",$E74="YES"),1,0)</f>
        <v>1</v>
      </c>
    </row>
    <row r="75" spans="1:16" ht="74.25" customHeight="1" x14ac:dyDescent="0.35">
      <c r="A75" s="19" t="s">
        <v>896</v>
      </c>
      <c r="B75" s="19" t="str">
        <f>"EWS-005"&amp;" — "&amp;INDEX($B$23:$B$65,MATCH("EWS-005",$A$23:$A$65,0))</f>
        <v>EWS-005 — Repayment source classification</v>
      </c>
      <c r="C75" s="19" t="str">
        <f>"EWS-014"&amp;" — "&amp;INDEX($B$23:$B$65,MATCH("EWS-014",$A$23:$A$65,0))</f>
        <v>EWS-014 — Unsecured loans change %</v>
      </c>
      <c r="D75" s="23" t="str">
        <f>IF(AND($J$27=1,$I$27/$E$27*'Risk Bands (Config)'!$B$5&gt;='Risk Bands (Config)'!$B$23),"YES","NO")</f>
        <v>NO</v>
      </c>
      <c r="E75" s="23" t="str">
        <f>IF(AND($J$36=1,$I$36/$E$36*'Risk Bands (Config)'!$B$5&gt;='Risk Bands (Config)'!$B$23),"YES","NO")</f>
        <v>YES</v>
      </c>
      <c r="F75" s="23">
        <f>IF(AND($D75="YES",$E75="YES"),1,0)</f>
        <v>0</v>
      </c>
    </row>
    <row r="76" spans="1:16" ht="53.25" customHeight="1" x14ac:dyDescent="0.35">
      <c r="A76" s="19" t="s">
        <v>897</v>
      </c>
      <c r="B76" s="19" t="str">
        <f>"EWS-009"&amp;" — "&amp;INDEX($B$23:$B$65,MATCH("EWS-009",$A$23:$A$65,0))</f>
        <v xml:space="preserve">EWS-009 — Debtor days vs normal </v>
      </c>
      <c r="C76" s="19" t="str">
        <f>"EWS-012"&amp;" — "&amp;INDEX($B$23:$B$65,MATCH("EWS-012",$A$23:$A$65,0))</f>
        <v>EWS-012 — Provisions/write-offs change %</v>
      </c>
      <c r="D76" s="23" t="str">
        <f>IF(AND($J$31=1,$I$31/$E$31*'Risk Bands (Config)'!$B$5&gt;='Risk Bands (Config)'!$B$23),"YES","NO")</f>
        <v>YES</v>
      </c>
      <c r="E76" s="23" t="str">
        <f>IF(AND($J$34=1,$I$34/$E$34*'Risk Bands (Config)'!$B$5&gt;='Risk Bands (Config)'!$B$23),"YES","NO")</f>
        <v>YES</v>
      </c>
      <c r="F76" s="23">
        <f>IF(AND($D76="YES",$E76="YES"),1,0)</f>
        <v>1</v>
      </c>
    </row>
    <row r="77" spans="1:16" ht="15" customHeight="1" x14ac:dyDescent="0.35">
      <c r="A77" s="27" t="s">
        <v>898</v>
      </c>
      <c r="B77" s="34" t="str">
        <f>IF(SUM($F$74:$F$76)&gt;0,"YES","NO")</f>
        <v>YES</v>
      </c>
      <c r="C77" s="9" t="s">
        <v>899</v>
      </c>
      <c r="D77" s="9"/>
      <c r="E77" s="9"/>
      <c r="F77" s="9"/>
      <c r="G77" s="9"/>
      <c r="H77" s="9"/>
      <c r="I77" s="9"/>
      <c r="J77" s="9"/>
      <c r="K77" s="9"/>
      <c r="L77" s="9"/>
      <c r="M77" s="9"/>
      <c r="N77" s="9"/>
      <c r="O77" s="9"/>
      <c r="P77" s="9"/>
    </row>
    <row r="78" spans="1:16" ht="15" customHeight="1" x14ac:dyDescent="0.35">
      <c r="A78" s="27" t="s">
        <v>900</v>
      </c>
      <c r="B78" s="34" t="str">
        <f>IF(LEN(IF($F$74=1,"Pair 1; ","")&amp;IF($F$75=1,"Pair 2; ","")&amp;IF($F$76=1,"Pair 3; ",""))=0,"None",LEFT(IF($F$74=1,"Pair 1; ","")&amp;IF($F$75=1,"Pair 2; ","")&amp;IF($F$76=1,"Pair 3; ",""),LEN(IF($F$74=1,"Pair 1; ","")&amp;IF($F$75=1,"Pair 2; ","")&amp;IF($F$76=1,"Pair 3; ",""))-2))</f>
        <v>Pair 1; Pair 3</v>
      </c>
      <c r="C78" s="5"/>
      <c r="D78" s="5"/>
      <c r="E78" s="5"/>
      <c r="F78" s="5"/>
      <c r="G78" s="5"/>
      <c r="H78" s="5"/>
      <c r="I78" s="5"/>
      <c r="J78" s="5"/>
      <c r="K78" s="5"/>
      <c r="L78" s="5"/>
      <c r="M78" s="5"/>
      <c r="N78" s="5"/>
      <c r="O78" s="5"/>
      <c r="P78" s="5"/>
    </row>
  </sheetData>
  <mergeCells count="17">
    <mergeCell ref="C77:P77"/>
    <mergeCell ref="C78:P78"/>
    <mergeCell ref="A67:P67"/>
    <mergeCell ref="C68:P68"/>
    <mergeCell ref="C69:P69"/>
    <mergeCell ref="C70:P70"/>
    <mergeCell ref="A72:P72"/>
    <mergeCell ref="C12:P12"/>
    <mergeCell ref="C14:P14"/>
    <mergeCell ref="C15:P15"/>
    <mergeCell ref="C16:P16"/>
    <mergeCell ref="A20:P20"/>
    <mergeCell ref="A1:P1"/>
    <mergeCell ref="A2:P2"/>
    <mergeCell ref="C8:P8"/>
    <mergeCell ref="C9:P9"/>
    <mergeCell ref="C10:P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zoomScaleNormal="100" workbookViewId="0"/>
  </sheetViews>
  <sheetFormatPr defaultColWidth="8.6328125" defaultRowHeight="14.5" x14ac:dyDescent="0.35"/>
  <cols>
    <col min="1" max="1" width="10" customWidth="1"/>
    <col min="2" max="3" width="30" customWidth="1"/>
    <col min="4" max="5" width="10" customWidth="1"/>
    <col min="6" max="6" width="12" customWidth="1"/>
    <col min="7" max="7" width="30" customWidth="1"/>
  </cols>
  <sheetData>
    <row r="1" spans="1:7" ht="30" customHeight="1" x14ac:dyDescent="0.35">
      <c r="A1" s="14" t="s">
        <v>901</v>
      </c>
      <c r="B1" s="14"/>
      <c r="C1" s="14"/>
      <c r="D1" s="14"/>
      <c r="E1" s="14"/>
      <c r="F1" s="14"/>
      <c r="G1" s="14"/>
    </row>
    <row r="2" spans="1:7" ht="25.5" customHeight="1" x14ac:dyDescent="0.35">
      <c r="A2" s="13" t="s">
        <v>902</v>
      </c>
      <c r="B2" s="13"/>
      <c r="C2" s="13"/>
      <c r="D2" s="13"/>
      <c r="E2" s="13"/>
      <c r="F2" s="13"/>
      <c r="G2" s="13"/>
    </row>
    <row r="4" spans="1:7" ht="34.5" customHeight="1" x14ac:dyDescent="0.35">
      <c r="A4" s="4" t="s">
        <v>903</v>
      </c>
      <c r="B4" s="4"/>
      <c r="C4" s="4"/>
      <c r="D4" s="4"/>
      <c r="E4" s="4"/>
      <c r="F4" s="4"/>
      <c r="G4" s="4"/>
    </row>
    <row r="6" spans="1:7" ht="27.75" customHeight="1" x14ac:dyDescent="0.35">
      <c r="A6" s="36" t="s">
        <v>904</v>
      </c>
      <c r="B6" s="36" t="s">
        <v>832</v>
      </c>
      <c r="C6" s="36" t="s">
        <v>827</v>
      </c>
      <c r="D6" s="36" t="s">
        <v>905</v>
      </c>
      <c r="E6" s="36" t="s">
        <v>906</v>
      </c>
      <c r="F6" s="36" t="s">
        <v>837</v>
      </c>
    </row>
    <row r="7" spans="1:7" ht="15" customHeight="1" x14ac:dyDescent="0.35">
      <c r="A7" s="42">
        <f>'Overall Score Engine'!$B$14</f>
        <v>28.356481481481481</v>
      </c>
      <c r="B7" s="43" t="str">
        <f>'Overall Score Engine'!$B$15</f>
        <v>Yellow</v>
      </c>
      <c r="C7" s="44">
        <f>'Overall Score Engine'!$B$12</f>
        <v>92.307692307692307</v>
      </c>
      <c r="D7" s="43" t="str">
        <f>'Overall Score Engine'!$B$16</f>
        <v>YES</v>
      </c>
      <c r="E7" s="43" t="str">
        <f>'Overall Score Engine'!$B$17</f>
        <v>EWS-026</v>
      </c>
      <c r="F7" s="45" t="str">
        <f>'Overall Score Engine'!$B$18</f>
        <v>CRITICAL (Override)</v>
      </c>
    </row>
    <row r="9" spans="1:7" ht="15" customHeight="1" x14ac:dyDescent="0.35">
      <c r="A9" s="3" t="s">
        <v>907</v>
      </c>
      <c r="B9" s="3"/>
      <c r="C9" s="3"/>
      <c r="D9" s="3"/>
      <c r="E9" s="3"/>
      <c r="F9" s="3"/>
      <c r="G9" s="3"/>
    </row>
    <row r="10" spans="1:7" ht="25.5" customHeight="1" x14ac:dyDescent="0.35">
      <c r="A10" s="15" t="s">
        <v>908</v>
      </c>
      <c r="B10" s="15" t="s">
        <v>890</v>
      </c>
      <c r="C10" s="15" t="s">
        <v>891</v>
      </c>
      <c r="D10" s="15" t="s">
        <v>892</v>
      </c>
      <c r="E10" s="15" t="s">
        <v>893</v>
      </c>
      <c r="F10" s="15" t="s">
        <v>894</v>
      </c>
      <c r="G10" s="15" t="s">
        <v>909</v>
      </c>
    </row>
    <row r="11" spans="1:7" ht="53.25" customHeight="1" x14ac:dyDescent="0.35">
      <c r="A11" s="19" t="str">
        <f>'Overall Score Engine'!$A$74</f>
        <v>Pair 1: Payment defaults + stretched creditors</v>
      </c>
      <c r="B11" s="19" t="str">
        <f>'Overall Score Engine'!$B$74</f>
        <v>EWS-004 — Payment Default Frequency</v>
      </c>
      <c r="C11" s="19" t="str">
        <f>'Overall Score Engine'!$C$74</f>
        <v xml:space="preserve">EWS-011 — Creditor days vs normal </v>
      </c>
      <c r="D11" s="23" t="str">
        <f>'Overall Score Engine'!$D$74</f>
        <v>YES</v>
      </c>
      <c r="E11" s="23" t="str">
        <f>'Overall Score Engine'!$E$74</f>
        <v>YES</v>
      </c>
      <c r="F11" s="22">
        <f>'Overall Score Engine'!$F$74</f>
        <v>1</v>
      </c>
      <c r="G11" s="47" t="s">
        <v>910</v>
      </c>
    </row>
    <row r="12" spans="1:7" ht="74.25" customHeight="1" x14ac:dyDescent="0.35">
      <c r="A12" s="19" t="str">
        <f>'Overall Score Engine'!$A$75</f>
        <v>Pair 2: Non-core repayment source + rising unsecured loans</v>
      </c>
      <c r="B12" s="19" t="str">
        <f>'Overall Score Engine'!$B$75</f>
        <v>EWS-005 — Repayment source classification</v>
      </c>
      <c r="C12" s="19" t="str">
        <f>'Overall Score Engine'!$C$75</f>
        <v>EWS-014 — Unsecured loans change %</v>
      </c>
      <c r="D12" s="23" t="str">
        <f>'Overall Score Engine'!$D$75</f>
        <v>NO</v>
      </c>
      <c r="E12" s="23" t="str">
        <f>'Overall Score Engine'!$E$75</f>
        <v>YES</v>
      </c>
      <c r="F12" s="22">
        <f>'Overall Score Engine'!$F$75</f>
        <v>0</v>
      </c>
      <c r="G12" s="47" t="s">
        <v>910</v>
      </c>
    </row>
    <row r="13" spans="1:7" ht="53.25" customHeight="1" x14ac:dyDescent="0.35">
      <c r="A13" s="19" t="str">
        <f>'Overall Score Engine'!$A$76</f>
        <v>Pair 3: Stretched debtors + rising provisions</v>
      </c>
      <c r="B13" s="19" t="str">
        <f>'Overall Score Engine'!$B$76</f>
        <v xml:space="preserve">EWS-009 — Debtor days vs normal </v>
      </c>
      <c r="C13" s="19" t="str">
        <f>'Overall Score Engine'!$C$76</f>
        <v>EWS-012 — Provisions/write-offs change %</v>
      </c>
      <c r="D13" s="23" t="str">
        <f>'Overall Score Engine'!$D$76</f>
        <v>YES</v>
      </c>
      <c r="E13" s="23" t="str">
        <f>'Overall Score Engine'!$E$76</f>
        <v>YES</v>
      </c>
      <c r="F13" s="22">
        <f>'Overall Score Engine'!$F$76</f>
        <v>1</v>
      </c>
      <c r="G13" s="47" t="s">
        <v>910</v>
      </c>
    </row>
    <row r="15" spans="1:7" ht="21.75" customHeight="1" x14ac:dyDescent="0.35">
      <c r="A15" s="2" t="s">
        <v>911</v>
      </c>
      <c r="B15" s="2"/>
      <c r="C15" s="2"/>
      <c r="D15" s="2"/>
      <c r="E15" s="2"/>
      <c r="F15" s="2"/>
      <c r="G15" s="2"/>
    </row>
  </sheetData>
  <mergeCells count="5">
    <mergeCell ref="A1:G1"/>
    <mergeCell ref="A2:G2"/>
    <mergeCell ref="A4:G4"/>
    <mergeCell ref="A9:G9"/>
    <mergeCell ref="A15:G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zoomScale="94" zoomScaleNormal="94" workbookViewId="0">
      <selection activeCell="A6" sqref="A6"/>
    </sheetView>
  </sheetViews>
  <sheetFormatPr defaultColWidth="8.54296875" defaultRowHeight="14.5" x14ac:dyDescent="0.35"/>
  <cols>
    <col min="1" max="1" width="37.81640625" customWidth="1"/>
    <col min="2" max="2" width="11" customWidth="1"/>
    <col min="3" max="3" width="10" customWidth="1"/>
    <col min="4" max="4" width="18" customWidth="1"/>
    <col min="5" max="5" width="34" customWidth="1"/>
    <col min="6" max="6" width="57.26953125" customWidth="1"/>
  </cols>
  <sheetData>
    <row r="1" spans="1:6" ht="30" customHeight="1" x14ac:dyDescent="0.35">
      <c r="A1" s="1" t="s">
        <v>912</v>
      </c>
      <c r="B1" s="1"/>
      <c r="C1" s="1"/>
      <c r="D1" s="1"/>
      <c r="E1" s="1"/>
      <c r="F1" s="1"/>
    </row>
    <row r="2" spans="1:6" ht="24" hidden="1" customHeight="1" x14ac:dyDescent="0.35">
      <c r="A2" s="98" t="s">
        <v>913</v>
      </c>
      <c r="B2" s="98"/>
      <c r="C2" s="98"/>
      <c r="D2" s="98"/>
      <c r="E2" s="98"/>
      <c r="F2" s="98"/>
    </row>
    <row r="4" spans="1:6" ht="15" customHeight="1" x14ac:dyDescent="0.35">
      <c r="A4" s="48" t="s">
        <v>914</v>
      </c>
      <c r="B4" s="48" t="s">
        <v>915</v>
      </c>
      <c r="C4" s="99" t="s">
        <v>909</v>
      </c>
      <c r="D4" s="99"/>
      <c r="E4" s="99"/>
      <c r="F4" s="99"/>
    </row>
    <row r="5" spans="1:6" ht="15" customHeight="1" x14ac:dyDescent="0.35">
      <c r="A5" s="49" t="s">
        <v>916</v>
      </c>
      <c r="B5" s="50">
        <v>100</v>
      </c>
      <c r="C5" s="100" t="s">
        <v>917</v>
      </c>
      <c r="D5" s="100"/>
      <c r="E5" s="100"/>
      <c r="F5" s="100"/>
    </row>
    <row r="6" spans="1:6" ht="15" customHeight="1" x14ac:dyDescent="0.35">
      <c r="A6" s="49" t="s">
        <v>918</v>
      </c>
      <c r="B6" s="50">
        <v>100</v>
      </c>
      <c r="C6" s="100" t="s">
        <v>919</v>
      </c>
      <c r="D6" s="100"/>
      <c r="E6" s="100"/>
      <c r="F6" s="100"/>
    </row>
    <row r="8" spans="1:6" ht="27.75" customHeight="1" x14ac:dyDescent="0.35">
      <c r="A8" s="51" t="s">
        <v>920</v>
      </c>
      <c r="B8" s="51" t="s">
        <v>921</v>
      </c>
      <c r="C8" s="51" t="s">
        <v>922</v>
      </c>
      <c r="D8" s="51" t="s">
        <v>923</v>
      </c>
      <c r="E8" s="51" t="s">
        <v>924</v>
      </c>
      <c r="F8" s="51" t="s">
        <v>925</v>
      </c>
    </row>
    <row r="9" spans="1:6" ht="14.25" customHeight="1" x14ac:dyDescent="0.35">
      <c r="A9" s="52" t="s">
        <v>926</v>
      </c>
      <c r="B9" s="53">
        <v>0</v>
      </c>
      <c r="C9" s="53">
        <v>19</v>
      </c>
      <c r="D9" s="53">
        <v>0</v>
      </c>
      <c r="E9" s="54" t="s">
        <v>927</v>
      </c>
      <c r="F9" s="54" t="s">
        <v>928</v>
      </c>
    </row>
    <row r="10" spans="1:6" ht="14.25" customHeight="1" x14ac:dyDescent="0.35">
      <c r="A10" s="55" t="s">
        <v>929</v>
      </c>
      <c r="B10" s="53">
        <v>20</v>
      </c>
      <c r="C10" s="53">
        <v>39</v>
      </c>
      <c r="D10" s="53">
        <v>20</v>
      </c>
      <c r="E10" s="54" t="s">
        <v>930</v>
      </c>
      <c r="F10" s="54" t="s">
        <v>931</v>
      </c>
    </row>
    <row r="11" spans="1:6" ht="14.25" customHeight="1" x14ac:dyDescent="0.35">
      <c r="A11" s="56" t="s">
        <v>932</v>
      </c>
      <c r="B11" s="53">
        <v>40</v>
      </c>
      <c r="C11" s="53">
        <v>59</v>
      </c>
      <c r="D11" s="53">
        <v>40</v>
      </c>
      <c r="E11" s="54" t="s">
        <v>933</v>
      </c>
      <c r="F11" s="54" t="s">
        <v>934</v>
      </c>
    </row>
    <row r="12" spans="1:6" ht="14.25" customHeight="1" x14ac:dyDescent="0.35">
      <c r="A12" s="57" t="s">
        <v>935</v>
      </c>
      <c r="B12" s="53">
        <v>60</v>
      </c>
      <c r="C12" s="53">
        <v>79</v>
      </c>
      <c r="D12" s="53">
        <v>60</v>
      </c>
      <c r="E12" s="54" t="s">
        <v>936</v>
      </c>
      <c r="F12" s="54" t="s">
        <v>937</v>
      </c>
    </row>
    <row r="13" spans="1:6" ht="14.25" customHeight="1" x14ac:dyDescent="0.35">
      <c r="A13" s="58" t="s">
        <v>840</v>
      </c>
      <c r="B13" s="53">
        <v>80</v>
      </c>
      <c r="C13" s="53">
        <v>100</v>
      </c>
      <c r="D13" s="53">
        <v>80</v>
      </c>
      <c r="E13" s="54" t="s">
        <v>938</v>
      </c>
      <c r="F13" s="54" t="s">
        <v>939</v>
      </c>
    </row>
    <row r="15" spans="1:6" ht="14.25" customHeight="1" x14ac:dyDescent="0.35">
      <c r="A15" s="101" t="s">
        <v>940</v>
      </c>
      <c r="B15" s="101"/>
      <c r="C15" s="101"/>
      <c r="D15" s="101"/>
      <c r="E15" s="101"/>
      <c r="F15" s="101"/>
    </row>
    <row r="16" spans="1:6" ht="14.25" customHeight="1" x14ac:dyDescent="0.35">
      <c r="A16" s="59" t="s">
        <v>941</v>
      </c>
      <c r="B16" s="60">
        <v>60</v>
      </c>
      <c r="C16" s="102" t="s">
        <v>942</v>
      </c>
      <c r="D16" s="102"/>
      <c r="E16" s="102"/>
      <c r="F16" s="102"/>
    </row>
    <row r="18" spans="1:6" ht="28.5" hidden="1" customHeight="1" x14ac:dyDescent="0.35">
      <c r="A18" s="61" t="s">
        <v>943</v>
      </c>
      <c r="B18" s="103" t="s">
        <v>944</v>
      </c>
      <c r="C18" s="103"/>
      <c r="D18" s="103"/>
      <c r="E18" s="103"/>
      <c r="F18" s="103"/>
    </row>
    <row r="19" spans="1:6" ht="14.25" customHeight="1" x14ac:dyDescent="0.35">
      <c r="A19" s="62"/>
      <c r="B19" s="62"/>
      <c r="C19" s="62"/>
      <c r="D19" s="62"/>
      <c r="E19" s="62"/>
      <c r="F19" s="62"/>
    </row>
    <row r="20" spans="1:6" ht="25.5" hidden="1" customHeight="1" x14ac:dyDescent="0.35">
      <c r="A20" s="61" t="s">
        <v>945</v>
      </c>
      <c r="B20" s="104" t="s">
        <v>946</v>
      </c>
      <c r="C20" s="104"/>
      <c r="D20" s="104"/>
      <c r="E20" s="104"/>
      <c r="F20" s="104"/>
    </row>
    <row r="21" spans="1:6" ht="14.25" customHeight="1" x14ac:dyDescent="0.35">
      <c r="A21" s="62"/>
      <c r="B21" s="62"/>
      <c r="C21" s="62"/>
      <c r="D21" s="62"/>
      <c r="E21" s="62"/>
      <c r="F21" s="62"/>
    </row>
    <row r="22" spans="1:6" ht="14.25" customHeight="1" x14ac:dyDescent="0.35">
      <c r="A22" s="105" t="s">
        <v>888</v>
      </c>
      <c r="B22" s="105"/>
      <c r="C22" s="105"/>
      <c r="D22" s="105"/>
      <c r="E22" s="105"/>
      <c r="F22" s="105"/>
    </row>
    <row r="23" spans="1:6" ht="39.75" customHeight="1" x14ac:dyDescent="0.35">
      <c r="A23" s="63" t="s">
        <v>947</v>
      </c>
      <c r="B23" s="64">
        <v>1</v>
      </c>
      <c r="C23" s="104" t="s">
        <v>948</v>
      </c>
      <c r="D23" s="104"/>
      <c r="E23" s="104"/>
      <c r="F23" s="104"/>
    </row>
    <row r="25" spans="1:6" ht="14.25" customHeight="1" x14ac:dyDescent="0.35">
      <c r="A25" s="65" t="s">
        <v>889</v>
      </c>
      <c r="B25" s="65" t="s">
        <v>890</v>
      </c>
      <c r="C25" s="65" t="s">
        <v>891</v>
      </c>
      <c r="D25" s="65" t="s">
        <v>949</v>
      </c>
    </row>
    <row r="26" spans="1:6" ht="14.25" customHeight="1" x14ac:dyDescent="0.35">
      <c r="A26" s="66" t="s">
        <v>950</v>
      </c>
      <c r="B26" s="67" t="s">
        <v>58</v>
      </c>
      <c r="C26" s="67" t="s">
        <v>104</v>
      </c>
      <c r="D26" s="106" t="s">
        <v>951</v>
      </c>
      <c r="E26" s="106"/>
      <c r="F26" s="106"/>
    </row>
    <row r="27" spans="1:6" ht="14.25" customHeight="1" x14ac:dyDescent="0.35">
      <c r="A27" s="66" t="s">
        <v>952</v>
      </c>
      <c r="B27" s="67" t="s">
        <v>64</v>
      </c>
      <c r="C27" s="67" t="s">
        <v>123</v>
      </c>
      <c r="D27" s="106" t="s">
        <v>953</v>
      </c>
      <c r="E27" s="106"/>
      <c r="F27" s="106"/>
    </row>
    <row r="28" spans="1:6" ht="14.25" customHeight="1" x14ac:dyDescent="0.35">
      <c r="A28" s="66" t="s">
        <v>954</v>
      </c>
      <c r="B28" s="67" t="s">
        <v>92</v>
      </c>
      <c r="C28" s="67" t="s">
        <v>109</v>
      </c>
      <c r="D28" s="106" t="s">
        <v>955</v>
      </c>
      <c r="E28" s="106"/>
      <c r="F28" s="106"/>
    </row>
  </sheetData>
  <mergeCells count="14">
    <mergeCell ref="C23:F23"/>
    <mergeCell ref="D26:F26"/>
    <mergeCell ref="D27:F27"/>
    <mergeCell ref="D28:F28"/>
    <mergeCell ref="A15:F15"/>
    <mergeCell ref="C16:F16"/>
    <mergeCell ref="B18:F18"/>
    <mergeCell ref="B20:F20"/>
    <mergeCell ref="A22:F22"/>
    <mergeCell ref="A1:F1"/>
    <mergeCell ref="A2:F2"/>
    <mergeCell ref="C4:F4"/>
    <mergeCell ref="C5:F5"/>
    <mergeCell ref="C6:F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zoomScale="71" zoomScaleNormal="71" workbookViewId="0">
      <selection activeCell="D8" sqref="D8"/>
    </sheetView>
  </sheetViews>
  <sheetFormatPr defaultColWidth="8.6328125" defaultRowHeight="14.5" x14ac:dyDescent="0.35"/>
  <cols>
    <col min="1" max="1" width="16" customWidth="1"/>
    <col min="2" max="2" width="26" customWidth="1"/>
    <col min="3" max="3" width="30" customWidth="1"/>
    <col min="4" max="4" width="22" customWidth="1"/>
    <col min="5" max="5" width="16" customWidth="1"/>
    <col min="6" max="6" width="18" customWidth="1"/>
    <col min="7" max="7" width="16" customWidth="1"/>
    <col min="8" max="8" width="12" customWidth="1"/>
    <col min="9" max="9" width="16" customWidth="1"/>
    <col min="10" max="10" width="14" customWidth="1"/>
    <col min="11" max="11" width="26" customWidth="1"/>
    <col min="12" max="12" width="12" customWidth="1"/>
  </cols>
  <sheetData>
    <row r="1" spans="1:12" ht="30" customHeight="1" x14ac:dyDescent="0.35">
      <c r="A1" s="107" t="s">
        <v>956</v>
      </c>
      <c r="B1" s="107"/>
      <c r="C1" s="107"/>
      <c r="D1" s="107"/>
      <c r="E1" s="107"/>
      <c r="F1" s="107"/>
      <c r="G1" s="107"/>
      <c r="H1" s="107"/>
      <c r="I1" s="107"/>
      <c r="J1" s="107"/>
      <c r="K1" s="107"/>
      <c r="L1" s="107"/>
    </row>
    <row r="2" spans="1:12" ht="27.75" hidden="1" customHeight="1" x14ac:dyDescent="0.35">
      <c r="A2" s="108" t="s">
        <v>957</v>
      </c>
      <c r="B2" s="108"/>
      <c r="C2" s="108"/>
      <c r="D2" s="108"/>
      <c r="E2" s="108"/>
      <c r="F2" s="108"/>
      <c r="G2" s="108"/>
      <c r="H2" s="108"/>
      <c r="I2" s="108"/>
      <c r="J2" s="108"/>
      <c r="K2" s="108"/>
      <c r="L2" s="108"/>
    </row>
    <row r="4" spans="1:12" ht="19.5" customHeight="1" x14ac:dyDescent="0.35">
      <c r="A4" s="109" t="s">
        <v>958</v>
      </c>
      <c r="B4" s="109"/>
      <c r="C4" s="109"/>
      <c r="D4" s="109"/>
      <c r="E4" s="109"/>
      <c r="F4" s="109"/>
      <c r="G4" s="109"/>
      <c r="H4" s="109"/>
      <c r="I4" s="109"/>
      <c r="J4" s="109"/>
      <c r="K4" s="109"/>
      <c r="L4" s="109"/>
    </row>
    <row r="5" spans="1:12" ht="30" customHeight="1" x14ac:dyDescent="0.35">
      <c r="A5" s="68" t="s">
        <v>959</v>
      </c>
      <c r="B5" s="68" t="s">
        <v>960</v>
      </c>
      <c r="C5" s="68" t="s">
        <v>961</v>
      </c>
      <c r="D5" s="68" t="s">
        <v>962</v>
      </c>
      <c r="E5" s="68" t="s">
        <v>963</v>
      </c>
      <c r="F5" s="68" t="s">
        <v>964</v>
      </c>
      <c r="G5" s="68" t="s">
        <v>965</v>
      </c>
      <c r="H5" s="68" t="s">
        <v>966</v>
      </c>
      <c r="I5" s="68" t="s">
        <v>967</v>
      </c>
      <c r="J5" s="68" t="s">
        <v>968</v>
      </c>
      <c r="K5" s="68" t="s">
        <v>969</v>
      </c>
    </row>
    <row r="6" spans="1:12" ht="42" customHeight="1" x14ac:dyDescent="0.35">
      <c r="A6" s="69" t="s">
        <v>970</v>
      </c>
      <c r="B6" s="70" t="s">
        <v>971</v>
      </c>
      <c r="C6" s="70" t="s">
        <v>972</v>
      </c>
      <c r="D6" s="71" t="s">
        <v>754</v>
      </c>
      <c r="E6" s="72" t="s">
        <v>973</v>
      </c>
      <c r="F6" s="73" t="s">
        <v>973</v>
      </c>
      <c r="G6" s="73" t="s">
        <v>754</v>
      </c>
      <c r="H6" s="73" t="s">
        <v>973</v>
      </c>
      <c r="I6" s="73" t="s">
        <v>973</v>
      </c>
      <c r="J6" s="73" t="s">
        <v>973</v>
      </c>
      <c r="K6" s="73" t="s">
        <v>974</v>
      </c>
    </row>
    <row r="7" spans="1:12" ht="42" customHeight="1" x14ac:dyDescent="0.35">
      <c r="A7" s="74" t="s">
        <v>975</v>
      </c>
      <c r="B7" s="75" t="s">
        <v>976</v>
      </c>
      <c r="C7" s="75" t="s">
        <v>977</v>
      </c>
      <c r="D7" s="76" t="s">
        <v>978</v>
      </c>
      <c r="E7" s="77" t="s">
        <v>979</v>
      </c>
      <c r="F7" s="78" t="s">
        <v>980</v>
      </c>
      <c r="G7" s="78" t="s">
        <v>981</v>
      </c>
      <c r="H7" s="78" t="s">
        <v>982</v>
      </c>
      <c r="I7" s="78" t="s">
        <v>983</v>
      </c>
      <c r="J7" s="78" t="s">
        <v>984</v>
      </c>
      <c r="K7" s="78" t="s">
        <v>985</v>
      </c>
    </row>
    <row r="8" spans="1:12" ht="42" customHeight="1" x14ac:dyDescent="0.35">
      <c r="A8" s="69" t="s">
        <v>986</v>
      </c>
      <c r="B8" s="70" t="s">
        <v>987</v>
      </c>
      <c r="C8" s="70" t="s">
        <v>988</v>
      </c>
      <c r="D8" s="79" t="s">
        <v>989</v>
      </c>
      <c r="E8" s="72" t="s">
        <v>990</v>
      </c>
      <c r="F8" s="73" t="s">
        <v>980</v>
      </c>
      <c r="G8" s="73" t="s">
        <v>991</v>
      </c>
      <c r="H8" s="73" t="s">
        <v>982</v>
      </c>
      <c r="I8" s="73" t="s">
        <v>992</v>
      </c>
      <c r="J8" s="73" t="s">
        <v>993</v>
      </c>
      <c r="K8" s="73" t="s">
        <v>994</v>
      </c>
    </row>
    <row r="9" spans="1:12" ht="42" customHeight="1" x14ac:dyDescent="0.35">
      <c r="A9" s="74" t="s">
        <v>995</v>
      </c>
      <c r="B9" s="75" t="s">
        <v>996</v>
      </c>
      <c r="C9" s="75" t="s">
        <v>997</v>
      </c>
      <c r="D9" s="79" t="s">
        <v>989</v>
      </c>
      <c r="E9" s="77" t="s">
        <v>990</v>
      </c>
      <c r="F9" s="78" t="s">
        <v>980</v>
      </c>
      <c r="G9" s="78" t="s">
        <v>991</v>
      </c>
      <c r="H9" s="78" t="s">
        <v>982</v>
      </c>
      <c r="I9" s="78" t="s">
        <v>998</v>
      </c>
      <c r="J9" s="78" t="s">
        <v>999</v>
      </c>
      <c r="K9" s="78" t="s">
        <v>1000</v>
      </c>
    </row>
    <row r="10" spans="1:12" ht="42" customHeight="1" x14ac:dyDescent="0.35">
      <c r="A10" s="69" t="s">
        <v>1001</v>
      </c>
      <c r="B10" s="70" t="s">
        <v>1002</v>
      </c>
      <c r="C10" s="70" t="s">
        <v>1003</v>
      </c>
      <c r="D10" s="80" t="s">
        <v>1004</v>
      </c>
      <c r="E10" s="72" t="s">
        <v>1005</v>
      </c>
      <c r="F10" s="73" t="s">
        <v>1006</v>
      </c>
      <c r="G10" s="73" t="s">
        <v>991</v>
      </c>
      <c r="H10" s="73" t="s">
        <v>982</v>
      </c>
      <c r="I10" s="73" t="s">
        <v>1007</v>
      </c>
      <c r="J10" s="73" t="s">
        <v>1008</v>
      </c>
      <c r="K10" s="73" t="s">
        <v>1009</v>
      </c>
    </row>
    <row r="11" spans="1:12" ht="42" customHeight="1" x14ac:dyDescent="0.35">
      <c r="A11" s="74" t="s">
        <v>1010</v>
      </c>
      <c r="B11" s="75" t="s">
        <v>1011</v>
      </c>
      <c r="C11" s="75" t="s">
        <v>1012</v>
      </c>
      <c r="D11" s="81" t="s">
        <v>1013</v>
      </c>
      <c r="E11" s="77" t="s">
        <v>1005</v>
      </c>
      <c r="F11" s="78" t="s">
        <v>1014</v>
      </c>
      <c r="G11" s="78" t="s">
        <v>1015</v>
      </c>
      <c r="H11" s="78" t="s">
        <v>982</v>
      </c>
      <c r="I11" s="78" t="s">
        <v>1016</v>
      </c>
      <c r="J11" s="78" t="s">
        <v>1008</v>
      </c>
      <c r="K11" s="78" t="s">
        <v>1017</v>
      </c>
    </row>
    <row r="12" spans="1:12" ht="42" customHeight="1" x14ac:dyDescent="0.35">
      <c r="A12" s="69" t="s">
        <v>1018</v>
      </c>
      <c r="B12" s="70" t="s">
        <v>1019</v>
      </c>
      <c r="C12" s="70" t="s">
        <v>1020</v>
      </c>
      <c r="D12" s="82" t="s">
        <v>840</v>
      </c>
      <c r="E12" s="72" t="s">
        <v>1021</v>
      </c>
      <c r="F12" s="73" t="s">
        <v>1022</v>
      </c>
      <c r="G12" s="73" t="s">
        <v>1023</v>
      </c>
      <c r="H12" s="73" t="s">
        <v>1024</v>
      </c>
      <c r="I12" s="73" t="s">
        <v>1025</v>
      </c>
      <c r="J12" s="73" t="s">
        <v>1008</v>
      </c>
      <c r="K12" s="73" t="s">
        <v>1026</v>
      </c>
    </row>
    <row r="13" spans="1:12" ht="42" customHeight="1" x14ac:dyDescent="0.35">
      <c r="A13" s="74" t="s">
        <v>1027</v>
      </c>
      <c r="B13" s="75" t="s">
        <v>1028</v>
      </c>
      <c r="C13" s="75" t="s">
        <v>1029</v>
      </c>
      <c r="D13" s="82" t="s">
        <v>840</v>
      </c>
      <c r="E13" s="77" t="s">
        <v>1021</v>
      </c>
      <c r="F13" s="78" t="s">
        <v>1030</v>
      </c>
      <c r="G13" s="78" t="s">
        <v>1023</v>
      </c>
      <c r="H13" s="78" t="s">
        <v>1024</v>
      </c>
      <c r="I13" s="78" t="s">
        <v>1031</v>
      </c>
      <c r="J13" s="78" t="s">
        <v>1032</v>
      </c>
      <c r="K13" s="78" t="s">
        <v>1033</v>
      </c>
    </row>
    <row r="16" spans="1:12" ht="19.5" customHeight="1" x14ac:dyDescent="0.35">
      <c r="A16" s="110" t="s">
        <v>1034</v>
      </c>
      <c r="B16" s="110"/>
      <c r="C16" s="110"/>
      <c r="D16" s="110"/>
      <c r="E16" s="110"/>
      <c r="F16" s="110"/>
      <c r="G16" s="110"/>
      <c r="H16" s="110"/>
      <c r="I16" s="110"/>
      <c r="J16" s="83"/>
      <c r="K16" s="83"/>
      <c r="L16" s="83"/>
    </row>
    <row r="17" spans="1:12" ht="30" customHeight="1" x14ac:dyDescent="0.35">
      <c r="A17" s="68" t="s">
        <v>969</v>
      </c>
      <c r="B17" s="68" t="s">
        <v>960</v>
      </c>
      <c r="C17" s="68" t="s">
        <v>1035</v>
      </c>
      <c r="D17" s="68" t="s">
        <v>1036</v>
      </c>
      <c r="E17" s="68" t="s">
        <v>1037</v>
      </c>
      <c r="F17" s="68" t="s">
        <v>1038</v>
      </c>
      <c r="G17" s="68" t="s">
        <v>1039</v>
      </c>
      <c r="H17" s="68" t="s">
        <v>967</v>
      </c>
      <c r="I17" s="84" t="s">
        <v>1040</v>
      </c>
      <c r="J17" s="85"/>
      <c r="K17" s="85"/>
      <c r="L17" s="85"/>
    </row>
    <row r="18" spans="1:12" ht="39.75" customHeight="1" x14ac:dyDescent="0.35">
      <c r="A18" s="86" t="s">
        <v>1041</v>
      </c>
      <c r="B18" s="67" t="s">
        <v>1042</v>
      </c>
      <c r="C18" s="67" t="s">
        <v>980</v>
      </c>
      <c r="D18" s="67" t="s">
        <v>1043</v>
      </c>
      <c r="E18" s="67" t="s">
        <v>1044</v>
      </c>
      <c r="F18" s="67" t="s">
        <v>1045</v>
      </c>
      <c r="G18" s="67" t="s">
        <v>1046</v>
      </c>
      <c r="H18" s="67" t="s">
        <v>973</v>
      </c>
      <c r="I18" s="67" t="s">
        <v>1047</v>
      </c>
    </row>
    <row r="19" spans="1:12" ht="39.75" customHeight="1" x14ac:dyDescent="0.35">
      <c r="A19" s="87" t="s">
        <v>1048</v>
      </c>
      <c r="B19" s="67" t="s">
        <v>1049</v>
      </c>
      <c r="C19" s="67" t="s">
        <v>980</v>
      </c>
      <c r="D19" s="67" t="s">
        <v>1050</v>
      </c>
      <c r="E19" s="67" t="s">
        <v>1051</v>
      </c>
      <c r="F19" s="67" t="s">
        <v>1052</v>
      </c>
      <c r="G19" s="67" t="s">
        <v>1053</v>
      </c>
      <c r="H19" s="67" t="s">
        <v>1054</v>
      </c>
      <c r="I19" s="67" t="s">
        <v>1055</v>
      </c>
    </row>
    <row r="20" spans="1:12" ht="39.75" customHeight="1" x14ac:dyDescent="0.35">
      <c r="A20" s="88" t="s">
        <v>1056</v>
      </c>
      <c r="B20" s="67" t="s">
        <v>1057</v>
      </c>
      <c r="C20" s="67" t="s">
        <v>1006</v>
      </c>
      <c r="D20" s="67" t="s">
        <v>1058</v>
      </c>
      <c r="E20" s="67" t="s">
        <v>1059</v>
      </c>
      <c r="F20" s="67" t="s">
        <v>1060</v>
      </c>
      <c r="G20" s="67" t="s">
        <v>1061</v>
      </c>
      <c r="H20" s="67" t="s">
        <v>1062</v>
      </c>
      <c r="I20" s="67" t="s">
        <v>1063</v>
      </c>
    </row>
    <row r="21" spans="1:12" ht="39.75" customHeight="1" x14ac:dyDescent="0.35">
      <c r="A21" s="89" t="s">
        <v>1064</v>
      </c>
      <c r="B21" s="67" t="s">
        <v>1065</v>
      </c>
      <c r="C21" s="67" t="s">
        <v>1014</v>
      </c>
      <c r="D21" s="67" t="s">
        <v>1066</v>
      </c>
      <c r="E21" s="67" t="s">
        <v>1067</v>
      </c>
      <c r="F21" s="67" t="s">
        <v>1068</v>
      </c>
      <c r="G21" s="67" t="s">
        <v>1069</v>
      </c>
      <c r="H21" s="67" t="s">
        <v>1070</v>
      </c>
      <c r="I21" s="67" t="s">
        <v>1071</v>
      </c>
    </row>
    <row r="22" spans="1:12" ht="39.75" customHeight="1" x14ac:dyDescent="0.35">
      <c r="A22" s="90" t="s">
        <v>1072</v>
      </c>
      <c r="B22" s="67" t="s">
        <v>1073</v>
      </c>
      <c r="C22" s="67" t="s">
        <v>1074</v>
      </c>
      <c r="D22" s="67" t="s">
        <v>1075</v>
      </c>
      <c r="E22" s="67" t="s">
        <v>1024</v>
      </c>
      <c r="F22" s="67" t="s">
        <v>1076</v>
      </c>
      <c r="G22" s="67" t="s">
        <v>1077</v>
      </c>
      <c r="H22" s="67" t="s">
        <v>1078</v>
      </c>
      <c r="I22" s="67" t="s">
        <v>1079</v>
      </c>
    </row>
    <row r="24" spans="1:12" ht="19.5" customHeight="1" x14ac:dyDescent="0.35">
      <c r="A24" s="110" t="s">
        <v>1080</v>
      </c>
      <c r="B24" s="110"/>
      <c r="C24" s="110"/>
      <c r="D24" s="110"/>
      <c r="E24" s="110"/>
    </row>
    <row r="25" spans="1:12" ht="30" customHeight="1" x14ac:dyDescent="0.35">
      <c r="A25" s="68" t="s">
        <v>1081</v>
      </c>
      <c r="B25" s="68" t="s">
        <v>1082</v>
      </c>
      <c r="C25" s="68" t="s">
        <v>1083</v>
      </c>
      <c r="D25" s="68" t="s">
        <v>1084</v>
      </c>
      <c r="E25" s="68" t="s">
        <v>1085</v>
      </c>
    </row>
    <row r="26" spans="1:12" ht="24" customHeight="1" x14ac:dyDescent="0.35">
      <c r="A26" s="66" t="s">
        <v>1086</v>
      </c>
      <c r="B26" s="67" t="s">
        <v>1087</v>
      </c>
      <c r="C26" s="67" t="s">
        <v>1088</v>
      </c>
      <c r="D26" s="67" t="s">
        <v>1089</v>
      </c>
      <c r="E26" s="67" t="s">
        <v>34</v>
      </c>
    </row>
    <row r="27" spans="1:12" ht="24" customHeight="1" x14ac:dyDescent="0.35">
      <c r="A27" s="91" t="s">
        <v>1089</v>
      </c>
      <c r="B27" s="92" t="s">
        <v>1090</v>
      </c>
      <c r="C27" s="92" t="s">
        <v>1088</v>
      </c>
      <c r="D27" s="92" t="s">
        <v>1091</v>
      </c>
      <c r="E27" s="92" t="s">
        <v>34</v>
      </c>
    </row>
    <row r="28" spans="1:12" ht="24" customHeight="1" x14ac:dyDescent="0.35">
      <c r="A28" s="66" t="s">
        <v>1091</v>
      </c>
      <c r="B28" s="67" t="s">
        <v>1092</v>
      </c>
      <c r="C28" s="67" t="s">
        <v>1093</v>
      </c>
      <c r="D28" s="67" t="s">
        <v>1094</v>
      </c>
      <c r="E28" s="67" t="s">
        <v>34</v>
      </c>
    </row>
    <row r="29" spans="1:12" ht="24" customHeight="1" x14ac:dyDescent="0.35">
      <c r="A29" s="91" t="s">
        <v>1095</v>
      </c>
      <c r="B29" s="92" t="s">
        <v>1096</v>
      </c>
      <c r="C29" s="92" t="s">
        <v>1093</v>
      </c>
      <c r="D29" s="92" t="s">
        <v>1097</v>
      </c>
      <c r="E29" s="92" t="s">
        <v>34</v>
      </c>
    </row>
    <row r="30" spans="1:12" ht="24" customHeight="1" x14ac:dyDescent="0.35">
      <c r="A30" s="66" t="s">
        <v>1098</v>
      </c>
      <c r="B30" s="67" t="s">
        <v>1099</v>
      </c>
      <c r="C30" s="67" t="s">
        <v>1100</v>
      </c>
      <c r="D30" s="67" t="s">
        <v>1101</v>
      </c>
      <c r="E30" s="67" t="s">
        <v>1102</v>
      </c>
    </row>
    <row r="31" spans="1:12" ht="24" customHeight="1" x14ac:dyDescent="0.35">
      <c r="A31" s="91" t="s">
        <v>1103</v>
      </c>
      <c r="B31" s="92" t="s">
        <v>1104</v>
      </c>
      <c r="C31" s="92" t="s">
        <v>1105</v>
      </c>
      <c r="D31" s="92" t="s">
        <v>1106</v>
      </c>
      <c r="E31" s="92" t="s">
        <v>34</v>
      </c>
    </row>
    <row r="32" spans="1:12" ht="24" customHeight="1" x14ac:dyDescent="0.35">
      <c r="A32" s="66" t="s">
        <v>1107</v>
      </c>
      <c r="B32" s="67" t="s">
        <v>1108</v>
      </c>
      <c r="C32" s="67" t="s">
        <v>1105</v>
      </c>
      <c r="D32" s="67" t="s">
        <v>1109</v>
      </c>
      <c r="E32" s="67" t="s">
        <v>1110</v>
      </c>
    </row>
    <row r="33" spans="1:12" ht="24" customHeight="1" x14ac:dyDescent="0.35">
      <c r="A33" s="91" t="s">
        <v>1109</v>
      </c>
      <c r="B33" s="92" t="s">
        <v>1111</v>
      </c>
      <c r="C33" s="92" t="s">
        <v>1105</v>
      </c>
      <c r="D33" s="92" t="s">
        <v>1091</v>
      </c>
      <c r="E33" s="92" t="s">
        <v>53</v>
      </c>
    </row>
    <row r="35" spans="1:12" ht="43.5" customHeight="1" x14ac:dyDescent="0.35">
      <c r="A35" s="111" t="s">
        <v>1112</v>
      </c>
      <c r="B35" s="111"/>
      <c r="C35" s="111"/>
      <c r="D35" s="111"/>
      <c r="E35" s="111"/>
      <c r="F35" s="111"/>
      <c r="G35" s="111"/>
      <c r="H35" s="111"/>
      <c r="I35" s="111"/>
      <c r="J35" s="111"/>
      <c r="K35" s="111"/>
      <c r="L35" s="111"/>
    </row>
  </sheetData>
  <mergeCells count="6">
    <mergeCell ref="A35:L35"/>
    <mergeCell ref="A1:L1"/>
    <mergeCell ref="A2:L2"/>
    <mergeCell ref="A4:L4"/>
    <mergeCell ref="A16:I16"/>
    <mergeCell ref="A24:E24"/>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
  <sheetViews>
    <sheetView zoomScaleNormal="100" workbookViewId="0"/>
  </sheetViews>
  <sheetFormatPr defaultColWidth="8.6328125" defaultRowHeight="14.5" x14ac:dyDescent="0.35"/>
  <cols>
    <col min="1" max="1" width="6" customWidth="1"/>
    <col min="2" max="2" width="9" customWidth="1"/>
    <col min="3" max="3" width="26" customWidth="1"/>
    <col min="4" max="4" width="18" customWidth="1"/>
    <col min="5" max="5" width="10" customWidth="1"/>
    <col min="6" max="6" width="40" customWidth="1"/>
    <col min="7" max="7" width="54" customWidth="1"/>
    <col min="8" max="8" width="20" customWidth="1"/>
    <col min="9" max="9" width="13" hidden="1" customWidth="1"/>
  </cols>
  <sheetData>
    <row r="1" spans="1:5" ht="323.25" customHeight="1" x14ac:dyDescent="0.35">
      <c r="A1" s="93" t="s">
        <v>1113</v>
      </c>
    </row>
    <row r="2" spans="1:5" ht="273" customHeight="1" x14ac:dyDescent="0.35">
      <c r="A2" s="94" t="s">
        <v>1114</v>
      </c>
    </row>
    <row r="4" spans="1:5" ht="68.25" customHeight="1" x14ac:dyDescent="0.35">
      <c r="A4" s="46" t="s">
        <v>1115</v>
      </c>
    </row>
    <row r="5" spans="1:5" ht="23.25" customHeight="1" x14ac:dyDescent="0.35">
      <c r="A5" s="46" t="s">
        <v>1116</v>
      </c>
      <c r="B5" s="95" t="s">
        <v>1117</v>
      </c>
      <c r="C5" s="95" t="s">
        <v>1118</v>
      </c>
      <c r="D5" s="95" t="s">
        <v>1083</v>
      </c>
      <c r="E5" s="95" t="s">
        <v>1119</v>
      </c>
    </row>
    <row r="6" spans="1:5" ht="21.75" customHeight="1" x14ac:dyDescent="0.35">
      <c r="A6" s="46" t="s">
        <v>926</v>
      </c>
      <c r="B6" s="95" t="s">
        <v>1120</v>
      </c>
      <c r="C6" s="95" t="s">
        <v>1121</v>
      </c>
      <c r="D6" s="95" t="s">
        <v>980</v>
      </c>
      <c r="E6" s="95" t="s">
        <v>1122</v>
      </c>
    </row>
    <row r="7" spans="1:5" ht="32.25" customHeight="1" x14ac:dyDescent="0.35">
      <c r="A7" s="46" t="s">
        <v>929</v>
      </c>
      <c r="B7" s="95" t="s">
        <v>1123</v>
      </c>
      <c r="C7" s="95" t="s">
        <v>1124</v>
      </c>
      <c r="D7" s="95" t="s">
        <v>980</v>
      </c>
      <c r="E7" s="95" t="s">
        <v>1125</v>
      </c>
    </row>
    <row r="8" spans="1:5" ht="32.25" customHeight="1" x14ac:dyDescent="0.35">
      <c r="A8" s="46" t="s">
        <v>932</v>
      </c>
      <c r="B8" s="95" t="s">
        <v>1126</v>
      </c>
      <c r="C8" s="95" t="s">
        <v>1127</v>
      </c>
      <c r="D8" s="95" t="s">
        <v>1006</v>
      </c>
      <c r="E8" s="95" t="s">
        <v>1128</v>
      </c>
    </row>
    <row r="9" spans="1:5" ht="32.25" customHeight="1" x14ac:dyDescent="0.35">
      <c r="A9" s="46" t="s">
        <v>935</v>
      </c>
      <c r="B9" s="95" t="s">
        <v>1129</v>
      </c>
      <c r="C9" s="95" t="s">
        <v>1130</v>
      </c>
      <c r="D9" s="95" t="s">
        <v>1014</v>
      </c>
      <c r="E9" s="95" t="s">
        <v>1131</v>
      </c>
    </row>
    <row r="10" spans="1:5" ht="32.25" customHeight="1" x14ac:dyDescent="0.35">
      <c r="A10" s="46" t="s">
        <v>840</v>
      </c>
      <c r="B10" s="95" t="s">
        <v>1132</v>
      </c>
      <c r="C10" s="95" t="s">
        <v>1133</v>
      </c>
      <c r="D10" s="95" t="s">
        <v>386</v>
      </c>
      <c r="E10" s="95" t="s">
        <v>1024</v>
      </c>
    </row>
    <row r="11" spans="1:5" ht="53.25" customHeight="1" x14ac:dyDescent="0.35">
      <c r="A11" s="46" t="s">
        <v>1134</v>
      </c>
      <c r="B11" s="95" t="s">
        <v>1135</v>
      </c>
      <c r="C11" s="95" t="s">
        <v>1136</v>
      </c>
      <c r="D11" s="95" t="s">
        <v>386</v>
      </c>
      <c r="E11" s="95" t="s">
        <v>1024</v>
      </c>
    </row>
    <row r="13" spans="1:5" ht="90.75" customHeight="1" x14ac:dyDescent="0.35">
      <c r="A13" s="46" t="s">
        <v>1137</v>
      </c>
    </row>
    <row r="14" spans="1:5" ht="202.5" customHeight="1" x14ac:dyDescent="0.35">
      <c r="A14" s="46" t="s">
        <v>1138</v>
      </c>
    </row>
    <row r="15" spans="1:5" ht="270" customHeight="1" x14ac:dyDescent="0.35">
      <c r="A15" s="46" t="s">
        <v>1139</v>
      </c>
    </row>
    <row r="16" spans="1:5" ht="303" customHeight="1" x14ac:dyDescent="0.35">
      <c r="A16" s="46" t="s">
        <v>1140</v>
      </c>
    </row>
    <row r="17" spans="1:9" ht="270" customHeight="1" x14ac:dyDescent="0.35">
      <c r="A17" s="46" t="s">
        <v>1141</v>
      </c>
    </row>
    <row r="18" spans="1:9" ht="270" customHeight="1" x14ac:dyDescent="0.35">
      <c r="A18" s="46" t="s">
        <v>1142</v>
      </c>
    </row>
    <row r="20" spans="1:9" ht="236.25" customHeight="1" x14ac:dyDescent="0.35">
      <c r="A20" s="46" t="s">
        <v>1143</v>
      </c>
    </row>
    <row r="21" spans="1:9" ht="15" customHeight="1" x14ac:dyDescent="0.35">
      <c r="A21" s="36" t="s">
        <v>1144</v>
      </c>
      <c r="B21" s="36" t="s">
        <v>15</v>
      </c>
      <c r="C21" s="36" t="s">
        <v>17</v>
      </c>
      <c r="D21" s="36" t="s">
        <v>19</v>
      </c>
      <c r="E21" s="36" t="s">
        <v>1145</v>
      </c>
      <c r="F21" s="36" t="s">
        <v>362</v>
      </c>
      <c r="G21" s="36" t="s">
        <v>363</v>
      </c>
      <c r="H21" s="36" t="s">
        <v>364</v>
      </c>
      <c r="I21" s="36" t="s">
        <v>1146</v>
      </c>
    </row>
    <row r="22" spans="1:9" ht="67.5" customHeight="1" x14ac:dyDescent="0.35">
      <c r="A22" s="96">
        <v>1</v>
      </c>
      <c r="B22" s="96" t="s">
        <v>29</v>
      </c>
      <c r="C22" s="97" t="s">
        <v>31</v>
      </c>
      <c r="D22" s="97" t="s">
        <v>33</v>
      </c>
      <c r="E22" s="96">
        <v>100</v>
      </c>
      <c r="F22" s="97" t="str">
        <f>IFERROR(INDEX('Scoring Engine (Rules)'!$O$5:$O$163,MATCH($B22&amp;"|"&amp;$I22,'Scoring Engine (Rules)'!$R$5:$R$163,0)),"")</f>
        <v>Severe / critical — utilisation above 95% for 30+ days; chronic over-reliance — possible inability to rotate WC, or diversion/ever-greening.</v>
      </c>
      <c r="G22" s="97" t="str">
        <f>IFERROR(INDEX('Scoring Engine (Rules)'!$P$5:$P$163,MATCH($B22&amp;"|"&amp;$I22,'Scoring Engine (Rules)'!$R$5:$R$163,0)),"")</f>
        <v>1) Restrict fresh drawals pending review. 2) Investigate diversion (routing gaps, ad-hoc pattern). 3) Full viability / limit-rationalisation review; escalate to Credit.</v>
      </c>
      <c r="H22" s="97" t="str">
        <f>IFERROR(INDEX('Scoring Engine (Rules)'!$Q$5:$Q$163,MATCH($B22&amp;"|"&amp;$I22,'Scoring Engine (Rules)'!$R$5:$R$163,0)),"")</f>
        <v>Credit Head / Risk</v>
      </c>
      <c r="I22">
        <v>30</v>
      </c>
    </row>
    <row r="23" spans="1:9" ht="67.5" customHeight="1" x14ac:dyDescent="0.35">
      <c r="A23" s="96">
        <v>2</v>
      </c>
      <c r="B23" s="96" t="s">
        <v>207</v>
      </c>
      <c r="C23" s="97" t="s">
        <v>208</v>
      </c>
      <c r="D23" s="97" t="s">
        <v>210</v>
      </c>
      <c r="E23" s="96">
        <v>100</v>
      </c>
      <c r="F23" s="97" t="str">
        <f>IFERROR(INDEX('Scoring Engine (Rules)'!$O$5:$O$163,MATCH($B23&amp;"|"&amp;$I23,'Scoring Engine (Rules)'!$R$5:$R$163,0)),"")</f>
        <v>Severe / critical — 3+ months overdue; severe — large statutory arrears ranking ahead of the bank, attachment risk.</v>
      </c>
      <c r="G23" s="97" t="str">
        <f>IFERROR(INDEX('Scoring Engine (Rules)'!$P$5:$P$163,MATCH($B23&amp;"|"&amp;$I23,'Scoring Engine (Rules)'!$R$5:$R$163,0)),"")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H23" s="97" t="str">
        <f>IFERROR(INDEX('Scoring Engine (Rules)'!$Q$5:$Q$163,MATCH($B23&amp;"|"&amp;$I23,'Scoring Engine (Rules)'!$R$5:$R$163,0)),"")</f>
        <v>Credit Head / Risk (immediate)</v>
      </c>
      <c r="I23">
        <v>35</v>
      </c>
    </row>
    <row r="24" spans="1:9" ht="67.5" customHeight="1" x14ac:dyDescent="0.35">
      <c r="A24" s="96">
        <v>3</v>
      </c>
      <c r="B24" s="96" t="s">
        <v>318</v>
      </c>
      <c r="C24" s="97" t="s">
        <v>319</v>
      </c>
      <c r="D24" s="97" t="s">
        <v>321</v>
      </c>
      <c r="E24" s="96">
        <v>100</v>
      </c>
      <c r="F24" s="97" t="str">
        <f>IFERROR(INDEX('Scoring Engine (Rules)'!$O$5:$O$163,MATCH($B24&amp;"|"&amp;$I24,'Scoring Engine (Rules)'!$R$5:$R$163,0)),"")</f>
        <v>Severe / critical — DSCR below 1.25; thin-to-inadequate coverage, cash accruals may not comfortably cover debt service.</v>
      </c>
      <c r="G24" s="97" t="str">
        <f>IFERROR(INDEX('Scoring Engine (Rules)'!$P$5:$P$163,MATCH($B24&amp;"|"&amp;$I24,'Scoring Engine (Rules)'!$R$5:$R$163,0)),"")</f>
        <v>1) Reassess repayment capacity, refinancing risk and viability. 2) Corrective / restructuring assessment. 3) Escalate to Credit.</v>
      </c>
      <c r="H24" s="97" t="str">
        <f>IFERROR(INDEX('Scoring Engine (Rules)'!$Q$5:$Q$163,MATCH($B24&amp;"|"&amp;$I24,'Scoring Engine (Rules)'!$R$5:$R$163,0)),"")</f>
        <v>Credit Head / Risk</v>
      </c>
      <c r="I24">
        <v>40</v>
      </c>
    </row>
    <row r="25" spans="1:9" ht="67.5" customHeight="1" x14ac:dyDescent="0.35">
      <c r="A25" s="96">
        <v>4</v>
      </c>
      <c r="B25" s="96" t="s">
        <v>328</v>
      </c>
      <c r="C25" s="97" t="s">
        <v>329</v>
      </c>
      <c r="D25" s="97" t="s">
        <v>321</v>
      </c>
      <c r="E25" s="96">
        <v>100</v>
      </c>
      <c r="F25" s="97" t="str">
        <f>IFERROR(INDEX('Scoring Engine (Rules)'!$O$5:$O$163,MATCH($B25&amp;"|"&amp;$I25,'Scoring Engine (Rules)'!$R$5:$R$163,0)),"")</f>
        <v>Severe / critical — leverage above 3.0; high/severe, thin net worth relative to debt and over-leverage risk.</v>
      </c>
      <c r="G25" s="97" t="str">
        <f>IFERROR(INDEX('Scoring Engine (Rules)'!$P$5:$P$163,MATCH($B25&amp;"|"&amp;$I25,'Scoring Engine (Rules)'!$R$5:$R$163,0)),"")</f>
        <v>1) Reassess leverage and net-worth adequacy; seek promoter infusion. 2) Corrective / viability review. 3) Escalate to Credit.</v>
      </c>
      <c r="H25" s="97" t="str">
        <f>IFERROR(INDEX('Scoring Engine (Rules)'!$Q$5:$Q$163,MATCH($B25&amp;"|"&amp;$I25,'Scoring Engine (Rules)'!$R$5:$R$163,0)),"")</f>
        <v>Credit Head / Risk</v>
      </c>
      <c r="I25">
        <v>40</v>
      </c>
    </row>
    <row r="26" spans="1:9" ht="67.5" customHeight="1" x14ac:dyDescent="0.35">
      <c r="A26" s="96">
        <v>5</v>
      </c>
      <c r="B26" s="96" t="s">
        <v>109</v>
      </c>
      <c r="C26" s="97" t="s">
        <v>110</v>
      </c>
      <c r="D26" s="97" t="s">
        <v>84</v>
      </c>
      <c r="E26" s="96">
        <v>75</v>
      </c>
      <c r="F26" s="97" t="str">
        <f>IFERROR(INDEX('Scoring Engine (Rules)'!$O$5:$O$163,MATCH($B26&amp;"|"&amp;$I26,'Scoring Engine (Rules)'!$R$5:$R$163,0)),"")</f>
        <v>High concern — provisions up &gt;25–50%; material deterioration in asset quality.</v>
      </c>
      <c r="G26" s="97" t="str">
        <f>IFERROR(INDEX('Scoring Engine (Rules)'!$P$5:$P$163,MATCH($B26&amp;"|"&amp;$I26,'Scoring Engine (Rules)'!$R$5:$R$163,0)),"")</f>
        <v>1) Reassess viability given the losses. 2) Enhanced monitoring. 3) Escalate to Credit.</v>
      </c>
      <c r="H26" s="97" t="str">
        <f>IFERROR(INDEX('Scoring Engine (Rules)'!$Q$5:$Q$163,MATCH($B26&amp;"|"&amp;$I26,'Scoring Engine (Rules)'!$R$5:$R$163,0)),"")</f>
        <v>Credit Committee / Zonal Credit</v>
      </c>
      <c r="I26">
        <v>30</v>
      </c>
    </row>
    <row r="27" spans="1:9" ht="67.5" customHeight="1" x14ac:dyDescent="0.35">
      <c r="A27" s="96">
        <v>6</v>
      </c>
      <c r="B27" s="96" t="s">
        <v>92</v>
      </c>
      <c r="C27" s="97" t="s">
        <v>93</v>
      </c>
      <c r="D27" s="97" t="s">
        <v>84</v>
      </c>
      <c r="E27" s="96">
        <v>66.7</v>
      </c>
      <c r="F27" s="97" t="str">
        <f>IFERROR(INDEX('Scoring Engine (Rules)'!$O$5:$O$163,MATCH($B27&amp;"|"&amp;$I27,'Scoring Engine (Rules)'!$R$5:$R$163,0)),"")</f>
        <v>Elevated concern — debtor days +30–60; material tie-up of working capital in receivables.</v>
      </c>
      <c r="G27" s="97" t="str">
        <f>IFERROR(INDEX('Scoring Engine (Rules)'!$P$5:$P$163,MATCH($B27&amp;"|"&amp;$I27,'Scoring Engine (Rules)'!$R$5:$R$163,0)),"")</f>
        <v>1) Order a receivables audit. 2) Exclude &gt;90-day receivables from DP. 3) Monitor monthly.</v>
      </c>
      <c r="H27" s="97" t="str">
        <f>IFERROR(INDEX('Scoring Engine (Rules)'!$Q$5:$Q$163,MATCH($B27&amp;"|"&amp;$I27,'Scoring Engine (Rules)'!$R$5:$R$163,0)),"")</f>
        <v>Credit Committee / Zonal Credit</v>
      </c>
      <c r="I27">
        <v>20</v>
      </c>
    </row>
    <row r="28" spans="1:9" ht="67.5" customHeight="1" x14ac:dyDescent="0.35">
      <c r="A28" s="96">
        <v>7</v>
      </c>
      <c r="B28" s="96" t="s">
        <v>50</v>
      </c>
      <c r="C28" s="97" t="s">
        <v>51</v>
      </c>
      <c r="D28" s="97" t="s">
        <v>33</v>
      </c>
      <c r="E28" s="96">
        <v>57.1</v>
      </c>
      <c r="F28" s="97" t="str">
        <f>IFERROR(INDEX('Scoring Engine (Rules)'!$O$5:$O$163,MATCH($B28&amp;"|"&amp;$I28,'Scoring Engine (Rules)'!$R$5:$R$163,0)),"")</f>
        <v>Elevated concern — credits down 20–40%; material drop — genuine sales fall or turnover being diverted elsewhere.</v>
      </c>
      <c r="G28" s="97" t="str">
        <f>IFERROR(INDEX('Scoring Engine (Rules)'!$P$5:$P$163,MATCH($B28&amp;"|"&amp;$I28,'Scoring Engine (Rules)'!$R$5:$R$163,0)),"")</f>
        <v>1) Stipulate proportionate turnover routing through the bank. 2) Verify sales via GST returns. 3) Monitor monthly credits vs sales.</v>
      </c>
      <c r="H28" s="97" t="str">
        <f>IFERROR(INDEX('Scoring Engine (Rules)'!$Q$5:$Q$163,MATCH($B28&amp;"|"&amp;$I28,'Scoring Engine (Rules)'!$R$5:$R$163,0)),"")</f>
        <v>RM + Credit Analyst</v>
      </c>
      <c r="I28">
        <v>20</v>
      </c>
    </row>
    <row r="29" spans="1:9" ht="67.5" customHeight="1" x14ac:dyDescent="0.35">
      <c r="A29" s="96">
        <v>8</v>
      </c>
      <c r="B29" s="96" t="s">
        <v>81</v>
      </c>
      <c r="C29" s="97" t="s">
        <v>82</v>
      </c>
      <c r="D29" s="97" t="s">
        <v>84</v>
      </c>
      <c r="E29" s="96">
        <v>57.1</v>
      </c>
      <c r="F29" s="97" t="str">
        <f>IFERROR(INDEX('Scoring Engine (Rules)'!$O$5:$O$163,MATCH($B29&amp;"|"&amp;$I29,'Scoring Engine (Rules)'!$R$5:$R$163,0)),"")</f>
        <v>Elevated concern — turnover down 20–40%; a genuine downturn or loss of key customers.</v>
      </c>
      <c r="G29" s="97" t="str">
        <f>IFERROR(INDEX('Scoring Engine (Rules)'!$P$5:$P$163,MATCH($B29&amp;"|"&amp;$I29,'Scoring Engine (Rules)'!$R$5:$R$163,0)),"")</f>
        <v>1) Reassess repayment capacity and viability with a sensitivity run. 2) Consider whether restructuring is needed. 3) Escalate to Credit.</v>
      </c>
      <c r="H29" s="97" t="str">
        <f>IFERROR(INDEX('Scoring Engine (Rules)'!$Q$5:$Q$163,MATCH($B29&amp;"|"&amp;$I29,'Scoring Engine (Rules)'!$R$5:$R$163,0)),"")</f>
        <v>RM + Credit Analyst</v>
      </c>
      <c r="I29">
        <v>20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Indicator Master</vt:lpstr>
      <vt:lpstr>Functional Logic</vt:lpstr>
      <vt:lpstr>Scoring Engine (Rules)</vt:lpstr>
      <vt:lpstr>Overall Score Engine</vt:lpstr>
      <vt:lpstr>Borrower Example</vt:lpstr>
      <vt:lpstr>Risk Bands (Config)</vt:lpstr>
      <vt:lpstr>Alert Lifecycle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Aakansh Srivastava</dc:creator>
  <dc:description/>
  <cp:lastModifiedBy>Aakansh Srivastava</cp:lastModifiedBy>
  <cp:revision>0</cp:revision>
  <dcterms:created xsi:type="dcterms:W3CDTF">2026-09-03T11:21:13Z</dcterms:created>
  <dcterms:modified xsi:type="dcterms:W3CDTF">2026-09-16T13:34:33Z</dcterms:modified>
  <dc:language>en-US</dc:language>
</cp:coreProperties>
</file>