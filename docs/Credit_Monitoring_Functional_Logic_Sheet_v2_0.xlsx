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D3A7023-90D2-4DF3-9CFA-5D393B5D4B53}" xr6:coauthVersionLast="47" xr6:coauthVersionMax="47" xr10:uidLastSave="{00000000-0000-0000-0000-000000000000}"/>
  <bookViews>
    <workbookView xWindow="-110" yWindow="-110" windowWidth="19420" windowHeight="10300" tabRatio="500" firstSheet="5" activeTab="6" xr2:uid="{00000000-000D-0000-FFFF-FFFF00000000}"/>
  </bookViews>
  <sheets>
    <sheet name="Indicator Master" sheetId="1" r:id="rId1"/>
    <sheet name="Functional Logic" sheetId="2" r:id="rId2"/>
    <sheet name="Scoring Engine (Rules)" sheetId="3" r:id="rId3"/>
    <sheet name="Overall Score Engine" sheetId="4" r:id="rId4"/>
    <sheet name="Borrower Example" sheetId="5" state="hidden" r:id="rId5"/>
    <sheet name="Risk Bands (Config)" sheetId="6" r:id="rId6"/>
    <sheet name="Alert Lifecycle" sheetId="7" r:id="rId7"/>
    <sheet name="Recommendations" sheetId="8" state="hidden" r:id="rId8"/>
  </sheets>
  <definedNames>
    <definedName name="_xlnm._FilterDatabase" localSheetId="2" hidden="1">'Scoring Engine (Rules)'!$A$4:$Q$89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5" l="1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E7" i="5"/>
  <c r="B47" i="4"/>
  <c r="J43" i="4"/>
  <c r="E43" i="4"/>
  <c r="E11" i="5" s="1"/>
  <c r="D43" i="4"/>
  <c r="L43" i="4" s="1"/>
  <c r="M43" i="4" s="1"/>
  <c r="J42" i="4"/>
  <c r="E42" i="4"/>
  <c r="K42" i="4" s="1"/>
  <c r="D42" i="4"/>
  <c r="K41" i="4"/>
  <c r="F17" i="5" s="1"/>
  <c r="J41" i="4"/>
  <c r="P41" i="4" s="1"/>
  <c r="E41" i="4"/>
  <c r="E17" i="5" s="1"/>
  <c r="D41" i="4"/>
  <c r="L41" i="4" s="1"/>
  <c r="M41" i="4" s="1"/>
  <c r="L40" i="4"/>
  <c r="M40" i="4" s="1"/>
  <c r="J40" i="4"/>
  <c r="E40" i="4"/>
  <c r="D40" i="4"/>
  <c r="N39" i="4"/>
  <c r="K39" i="4"/>
  <c r="J39" i="4"/>
  <c r="P39" i="4" s="1"/>
  <c r="E39" i="4"/>
  <c r="D39" i="4"/>
  <c r="L39" i="4" s="1"/>
  <c r="M39" i="4" s="1"/>
  <c r="O38" i="4"/>
  <c r="N38" i="4"/>
  <c r="J38" i="4"/>
  <c r="K38" i="4" s="1"/>
  <c r="E38" i="4"/>
  <c r="D38" i="4"/>
  <c r="P37" i="4"/>
  <c r="O37" i="4"/>
  <c r="N37" i="4"/>
  <c r="K37" i="4"/>
  <c r="F18" i="5" s="1"/>
  <c r="J37" i="4"/>
  <c r="E37" i="4"/>
  <c r="E18" i="5" s="1"/>
  <c r="D37" i="4"/>
  <c r="L37" i="4" s="1"/>
  <c r="M37" i="4" s="1"/>
  <c r="J36" i="4"/>
  <c r="E36" i="4"/>
  <c r="D36" i="4"/>
  <c r="J35" i="4"/>
  <c r="E35" i="4"/>
  <c r="D35" i="4"/>
  <c r="L35" i="4" s="1"/>
  <c r="M35" i="4" s="1"/>
  <c r="K34" i="4"/>
  <c r="J34" i="4"/>
  <c r="E34" i="4"/>
  <c r="D34" i="4"/>
  <c r="K33" i="4"/>
  <c r="J33" i="4"/>
  <c r="E33" i="4"/>
  <c r="D33" i="4"/>
  <c r="L33" i="4" s="1"/>
  <c r="M33" i="4" s="1"/>
  <c r="J32" i="4"/>
  <c r="K32" i="4" s="1"/>
  <c r="E32" i="4"/>
  <c r="D32" i="4"/>
  <c r="L32" i="4" s="1"/>
  <c r="M32" i="4" s="1"/>
  <c r="K31" i="4"/>
  <c r="F16" i="5" s="1"/>
  <c r="J31" i="4"/>
  <c r="E31" i="4"/>
  <c r="E16" i="5" s="1"/>
  <c r="D31" i="4"/>
  <c r="L31" i="4" s="1"/>
  <c r="M31" i="4" s="1"/>
  <c r="J30" i="4"/>
  <c r="E30" i="4"/>
  <c r="E15" i="5" s="1"/>
  <c r="D30" i="4"/>
  <c r="J29" i="4"/>
  <c r="E29" i="4"/>
  <c r="K29" i="4" s="1"/>
  <c r="D29" i="4"/>
  <c r="L29" i="4" s="1"/>
  <c r="M29" i="4" s="1"/>
  <c r="J28" i="4"/>
  <c r="E28" i="4"/>
  <c r="D28" i="4"/>
  <c r="J27" i="4"/>
  <c r="E27" i="4"/>
  <c r="E13" i="5" s="1"/>
  <c r="D27" i="4"/>
  <c r="L27" i="4" s="1"/>
  <c r="M27" i="4" s="1"/>
  <c r="K26" i="4"/>
  <c r="F14" i="5" s="1"/>
  <c r="J26" i="4"/>
  <c r="E26" i="4"/>
  <c r="E14" i="5" s="1"/>
  <c r="D26" i="4"/>
  <c r="K25" i="4"/>
  <c r="F12" i="5" s="1"/>
  <c r="J25" i="4"/>
  <c r="E25" i="4"/>
  <c r="E12" i="5" s="1"/>
  <c r="D25" i="4"/>
  <c r="L25" i="4" s="1"/>
  <c r="M25" i="4" s="1"/>
  <c r="J24" i="4"/>
  <c r="K24" i="4" s="1"/>
  <c r="E24" i="4"/>
  <c r="D24" i="4"/>
  <c r="L24" i="4" s="1"/>
  <c r="M24" i="4" s="1"/>
  <c r="J23" i="4"/>
  <c r="E23" i="4"/>
  <c r="L23" i="4" s="1"/>
  <c r="M23" i="4" s="1"/>
  <c r="D23" i="4"/>
  <c r="B11" i="4"/>
  <c r="B10" i="4"/>
  <c r="B8" i="4"/>
  <c r="B7" i="4"/>
  <c r="R89" i="3"/>
  <c r="M89" i="3"/>
  <c r="L89" i="3"/>
  <c r="R88" i="3"/>
  <c r="M88" i="3"/>
  <c r="L88" i="3"/>
  <c r="R87" i="3"/>
  <c r="M87" i="3"/>
  <c r="L87" i="3"/>
  <c r="R86" i="3"/>
  <c r="M86" i="3"/>
  <c r="L86" i="3"/>
  <c r="R85" i="3"/>
  <c r="M85" i="3"/>
  <c r="L85" i="3"/>
  <c r="R84" i="3"/>
  <c r="M84" i="3"/>
  <c r="L84" i="3"/>
  <c r="R83" i="3"/>
  <c r="M83" i="3"/>
  <c r="L83" i="3"/>
  <c r="R82" i="3"/>
  <c r="M82" i="3"/>
  <c r="L82" i="3"/>
  <c r="R81" i="3"/>
  <c r="M81" i="3"/>
  <c r="L81" i="3"/>
  <c r="R80" i="3"/>
  <c r="M80" i="3"/>
  <c r="L80" i="3"/>
  <c r="R79" i="3"/>
  <c r="M79" i="3"/>
  <c r="L79" i="3"/>
  <c r="R78" i="3"/>
  <c r="M78" i="3"/>
  <c r="L78" i="3"/>
  <c r="R77" i="3"/>
  <c r="M77" i="3"/>
  <c r="L77" i="3"/>
  <c r="R76" i="3"/>
  <c r="M76" i="3"/>
  <c r="L76" i="3"/>
  <c r="R75" i="3"/>
  <c r="M75" i="3"/>
  <c r="L75" i="3"/>
  <c r="R74" i="3"/>
  <c r="M74" i="3"/>
  <c r="L74" i="3"/>
  <c r="R73" i="3"/>
  <c r="M73" i="3"/>
  <c r="L73" i="3"/>
  <c r="R72" i="3"/>
  <c r="M72" i="3"/>
  <c r="L72" i="3"/>
  <c r="R71" i="3"/>
  <c r="M71" i="3"/>
  <c r="L71" i="3"/>
  <c r="R70" i="3"/>
  <c r="M70" i="3"/>
  <c r="L70" i="3"/>
  <c r="R69" i="3"/>
  <c r="M69" i="3"/>
  <c r="L69" i="3"/>
  <c r="R68" i="3"/>
  <c r="M68" i="3"/>
  <c r="L68" i="3"/>
  <c r="R67" i="3"/>
  <c r="M67" i="3"/>
  <c r="L67" i="3"/>
  <c r="R66" i="3"/>
  <c r="M66" i="3"/>
  <c r="L66" i="3"/>
  <c r="R65" i="3"/>
  <c r="M65" i="3"/>
  <c r="L65" i="3"/>
  <c r="R64" i="3"/>
  <c r="M64" i="3"/>
  <c r="L64" i="3"/>
  <c r="R63" i="3"/>
  <c r="M63" i="3"/>
  <c r="L63" i="3"/>
  <c r="R62" i="3"/>
  <c r="M62" i="3"/>
  <c r="L62" i="3"/>
  <c r="R61" i="3"/>
  <c r="M61" i="3"/>
  <c r="L61" i="3"/>
  <c r="R60" i="3"/>
  <c r="M60" i="3"/>
  <c r="L60" i="3"/>
  <c r="R59" i="3"/>
  <c r="M59" i="3"/>
  <c r="L59" i="3"/>
  <c r="R58" i="3"/>
  <c r="M58" i="3"/>
  <c r="L58" i="3"/>
  <c r="R57" i="3"/>
  <c r="M57" i="3"/>
  <c r="L57" i="3"/>
  <c r="R56" i="3"/>
  <c r="M56" i="3"/>
  <c r="L56" i="3"/>
  <c r="R55" i="3"/>
  <c r="M55" i="3"/>
  <c r="L55" i="3"/>
  <c r="R54" i="3"/>
  <c r="M54" i="3"/>
  <c r="L54" i="3"/>
  <c r="R53" i="3"/>
  <c r="M53" i="3"/>
  <c r="L53" i="3"/>
  <c r="R52" i="3"/>
  <c r="M52" i="3"/>
  <c r="L52" i="3"/>
  <c r="R51" i="3"/>
  <c r="M51" i="3"/>
  <c r="L51" i="3"/>
  <c r="R50" i="3"/>
  <c r="M50" i="3"/>
  <c r="L50" i="3"/>
  <c r="R49" i="3"/>
  <c r="M49" i="3"/>
  <c r="L49" i="3"/>
  <c r="R48" i="3"/>
  <c r="M48" i="3"/>
  <c r="L48" i="3"/>
  <c r="R47" i="3"/>
  <c r="M47" i="3"/>
  <c r="L47" i="3"/>
  <c r="R46" i="3"/>
  <c r="M46" i="3"/>
  <c r="L46" i="3"/>
  <c r="R45" i="3"/>
  <c r="M45" i="3"/>
  <c r="L45" i="3"/>
  <c r="R44" i="3"/>
  <c r="M44" i="3"/>
  <c r="L44" i="3"/>
  <c r="R43" i="3"/>
  <c r="M43" i="3"/>
  <c r="L43" i="3"/>
  <c r="R42" i="3"/>
  <c r="M42" i="3"/>
  <c r="L42" i="3"/>
  <c r="R41" i="3"/>
  <c r="M41" i="3"/>
  <c r="L41" i="3"/>
  <c r="R40" i="3"/>
  <c r="M40" i="3"/>
  <c r="L40" i="3"/>
  <c r="R39" i="3"/>
  <c r="M39" i="3"/>
  <c r="L39" i="3"/>
  <c r="R38" i="3"/>
  <c r="M38" i="3"/>
  <c r="L38" i="3"/>
  <c r="R37" i="3"/>
  <c r="M37" i="3"/>
  <c r="L37" i="3"/>
  <c r="R36" i="3"/>
  <c r="M36" i="3"/>
  <c r="L36" i="3"/>
  <c r="R35" i="3"/>
  <c r="M35" i="3"/>
  <c r="L35" i="3"/>
  <c r="R34" i="3"/>
  <c r="M34" i="3"/>
  <c r="L34" i="3"/>
  <c r="R33" i="3"/>
  <c r="M33" i="3"/>
  <c r="L33" i="3"/>
  <c r="R32" i="3"/>
  <c r="M32" i="3"/>
  <c r="L32" i="3"/>
  <c r="R31" i="3"/>
  <c r="M31" i="3"/>
  <c r="L31" i="3"/>
  <c r="R30" i="3"/>
  <c r="M30" i="3"/>
  <c r="L30" i="3"/>
  <c r="R29" i="3"/>
  <c r="M29" i="3"/>
  <c r="L29" i="3"/>
  <c r="R28" i="3"/>
  <c r="M28" i="3"/>
  <c r="L28" i="3"/>
  <c r="R27" i="3"/>
  <c r="M27" i="3"/>
  <c r="L27" i="3"/>
  <c r="R26" i="3"/>
  <c r="M26" i="3"/>
  <c r="L26" i="3"/>
  <c r="R25" i="3"/>
  <c r="M25" i="3"/>
  <c r="L25" i="3"/>
  <c r="R24" i="3"/>
  <c r="M24" i="3"/>
  <c r="L24" i="3"/>
  <c r="R23" i="3"/>
  <c r="M23" i="3"/>
  <c r="L23" i="3"/>
  <c r="R22" i="3"/>
  <c r="M22" i="3"/>
  <c r="L22" i="3"/>
  <c r="R21" i="3"/>
  <c r="M21" i="3"/>
  <c r="L21" i="3"/>
  <c r="R20" i="3"/>
  <c r="M20" i="3"/>
  <c r="L20" i="3"/>
  <c r="R19" i="3"/>
  <c r="M19" i="3"/>
  <c r="L19" i="3"/>
  <c r="R18" i="3"/>
  <c r="M18" i="3"/>
  <c r="L18" i="3"/>
  <c r="R17" i="3"/>
  <c r="M17" i="3"/>
  <c r="L17" i="3"/>
  <c r="R16" i="3"/>
  <c r="M16" i="3"/>
  <c r="L16" i="3"/>
  <c r="R15" i="3"/>
  <c r="M15" i="3"/>
  <c r="L15" i="3"/>
  <c r="R14" i="3"/>
  <c r="M14" i="3"/>
  <c r="L14" i="3"/>
  <c r="R13" i="3"/>
  <c r="M13" i="3"/>
  <c r="L13" i="3"/>
  <c r="R12" i="3"/>
  <c r="M12" i="3"/>
  <c r="L12" i="3"/>
  <c r="R11" i="3"/>
  <c r="M11" i="3"/>
  <c r="L11" i="3"/>
  <c r="R10" i="3"/>
  <c r="M10" i="3"/>
  <c r="L10" i="3"/>
  <c r="R9" i="3"/>
  <c r="M9" i="3"/>
  <c r="L9" i="3"/>
  <c r="R8" i="3"/>
  <c r="M8" i="3"/>
  <c r="L8" i="3"/>
  <c r="R7" i="3"/>
  <c r="M7" i="3"/>
  <c r="L7" i="3"/>
  <c r="R6" i="3"/>
  <c r="M6" i="3"/>
  <c r="L6" i="3"/>
  <c r="R5" i="3"/>
  <c r="N23" i="4" s="1"/>
  <c r="M5" i="3"/>
  <c r="L5" i="3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P25" i="4" l="1"/>
  <c r="P27" i="4"/>
  <c r="P23" i="4"/>
  <c r="O28" i="4"/>
  <c r="P35" i="4"/>
  <c r="O30" i="4"/>
  <c r="P26" i="4"/>
  <c r="P31" i="4"/>
  <c r="P33" i="4"/>
  <c r="P43" i="4"/>
  <c r="P42" i="4"/>
  <c r="H29" i="8"/>
  <c r="O36" i="4"/>
  <c r="P34" i="4"/>
  <c r="L38" i="4"/>
  <c r="M38" i="4" s="1"/>
  <c r="K23" i="4"/>
  <c r="L30" i="4"/>
  <c r="M30" i="4" s="1"/>
  <c r="L28" i="4"/>
  <c r="M28" i="4" s="1"/>
  <c r="K30" i="4"/>
  <c r="F15" i="5" s="1"/>
  <c r="L36" i="4"/>
  <c r="M36" i="4" s="1"/>
  <c r="K40" i="4"/>
  <c r="L42" i="4"/>
  <c r="M42" i="4" s="1"/>
  <c r="P28" i="4"/>
  <c r="O29" i="4"/>
  <c r="N30" i="4"/>
  <c r="P36" i="4"/>
  <c r="F22" i="8"/>
  <c r="H24" i="8"/>
  <c r="G27" i="8"/>
  <c r="G22" i="8"/>
  <c r="F25" i="8"/>
  <c r="H27" i="8"/>
  <c r="P38" i="4"/>
  <c r="O39" i="4"/>
  <c r="N40" i="4"/>
  <c r="K43" i="4"/>
  <c r="F11" i="5" s="1"/>
  <c r="H22" i="8"/>
  <c r="G25" i="8"/>
  <c r="F28" i="8"/>
  <c r="N31" i="4"/>
  <c r="O31" i="4"/>
  <c r="K35" i="4"/>
  <c r="O24" i="4"/>
  <c r="N25" i="4"/>
  <c r="K28" i="4"/>
  <c r="O32" i="4"/>
  <c r="N33" i="4"/>
  <c r="K36" i="4"/>
  <c r="O40" i="4"/>
  <c r="N41" i="4"/>
  <c r="F23" i="8"/>
  <c r="H25" i="8"/>
  <c r="G28" i="8"/>
  <c r="B9" i="4"/>
  <c r="P29" i="4"/>
  <c r="O23" i="4"/>
  <c r="L26" i="4"/>
  <c r="M26" i="4" s="1"/>
  <c r="K27" i="4"/>
  <c r="F13" i="5" s="1"/>
  <c r="N32" i="4"/>
  <c r="L34" i="4"/>
  <c r="M34" i="4" s="1"/>
  <c r="P24" i="4"/>
  <c r="O25" i="4"/>
  <c r="N26" i="4"/>
  <c r="P32" i="4"/>
  <c r="O33" i="4"/>
  <c r="N34" i="4"/>
  <c r="P40" i="4"/>
  <c r="O41" i="4"/>
  <c r="N42" i="4"/>
  <c r="G23" i="8"/>
  <c r="F26" i="8"/>
  <c r="H28" i="8"/>
  <c r="N24" i="4"/>
  <c r="P30" i="4"/>
  <c r="O26" i="4"/>
  <c r="N27" i="4"/>
  <c r="O34" i="4"/>
  <c r="N35" i="4"/>
  <c r="O42" i="4"/>
  <c r="N43" i="4"/>
  <c r="H23" i="8"/>
  <c r="G26" i="8"/>
  <c r="F29" i="8"/>
  <c r="O27" i="4"/>
  <c r="N28" i="4"/>
  <c r="O35" i="4"/>
  <c r="N36" i="4"/>
  <c r="O43" i="4"/>
  <c r="F24" i="8"/>
  <c r="H26" i="8"/>
  <c r="G29" i="8"/>
  <c r="N29" i="4"/>
  <c r="G24" i="8"/>
  <c r="F27" i="8"/>
  <c r="B16" i="4" l="1"/>
  <c r="B12" i="4"/>
  <c r="B13" i="4"/>
  <c r="B14" i="4" s="1"/>
  <c r="B15" i="4" l="1"/>
  <c r="B7" i="5" s="1"/>
  <c r="A7" i="5"/>
  <c r="C7" i="5"/>
  <c r="B48" i="4"/>
  <c r="D7" i="5"/>
  <c r="B18" i="4"/>
  <c r="F7" i="5" s="1"/>
  <c r="B19" i="4"/>
</calcChain>
</file>

<file path=xl/sharedStrings.xml><?xml version="1.0" encoding="utf-8"?>
<sst xmlns="http://schemas.openxmlformats.org/spreadsheetml/2006/main" count="1883" uniqueCount="782">
  <si>
    <t>UID</t>
  </si>
  <si>
    <t>Module</t>
  </si>
  <si>
    <t>Indicator</t>
  </si>
  <si>
    <t>Description</t>
  </si>
  <si>
    <t>Category</t>
  </si>
  <si>
    <t>Critical (Yes/No)</t>
  </si>
  <si>
    <t>What to Track (Input)</t>
  </si>
  <si>
    <t>Data Source Channel</t>
  </si>
  <si>
    <t>Acquisition Mechanism</t>
  </si>
  <si>
    <t>Data Type</t>
  </si>
  <si>
    <t>Update Frequency</t>
  </si>
  <si>
    <t>Functional Calculation Formula</t>
  </si>
  <si>
    <t>Threshold &amp; Score</t>
  </si>
  <si>
    <t>Max Score</t>
  </si>
  <si>
    <t>CM-001</t>
  </si>
  <si>
    <t>Credit Monitoring</t>
  </si>
  <si>
    <t>DPD (days past due)</t>
  </si>
  <si>
    <t>Delay in interest payment</t>
  </si>
  <si>
    <t>Account Conduct</t>
  </si>
  <si>
    <t>No</t>
  </si>
  <si>
    <t>EMI / interest overdue by 1-30 days</t>
  </si>
  <si>
    <t>Bank Core System (CBS)</t>
  </si>
  <si>
    <t>Direct CBS extract</t>
  </si>
  <si>
    <t>Quantitative</t>
  </si>
  <si>
    <t>Daily</t>
  </si>
  <si>
    <t>MAX days past due across facilities as of run date</t>
  </si>
  <si>
    <t>0 days = 0  |  1-30 DPD = 10  |  31-60 DPD = 20  |  61-90 DPD = 30  |  90+ DPD = 40</t>
  </si>
  <si>
    <t>CM-002</t>
  </si>
  <si>
    <t>Excess over DP/limit %</t>
  </si>
  <si>
    <t>Overdrawing beyond sanctioned limit</t>
  </si>
  <si>
    <t>Drawing power breach or limit excess</t>
  </si>
  <si>
    <t>Excess% = (Outstanding - DrawingPower)/DrawingPower</t>
  </si>
  <si>
    <t>No breach = 0  |  Up to 5% breach = 10  |  5-10% = 20  |  &gt;10% or repeated = 30</t>
  </si>
  <si>
    <t>CM-003</t>
  </si>
  <si>
    <t>GST turnover change % / vs bank credits</t>
  </si>
  <si>
    <t>Decline in GST turnover</t>
  </si>
  <si>
    <t>Financial Performance</t>
  </si>
  <si>
    <t>GST sales lower than projected or lower than bank statement credits</t>
  </si>
  <si>
    <t>External API</t>
  </si>
  <si>
    <t>GST portal / GSTN API (with consent)</t>
  </si>
  <si>
    <t>Monthly</t>
  </si>
  <si>
    <t>GSTChange% vs prior period; and GST vs bank credits</t>
  </si>
  <si>
    <t>Stable/increasing = 0  |  10-20% decline = 10  |  20-40% decline = 20  |  &gt;40% decline = 35</t>
  </si>
  <si>
    <t>CM-004</t>
  </si>
  <si>
    <t>Cash Flow from Operations (sign / periods)</t>
  </si>
  <si>
    <t>Negative cash flow from operations</t>
  </si>
  <si>
    <t>CFO negative for repeated periods</t>
  </si>
  <si>
    <t>Bank-provided Financial Statements</t>
  </si>
  <si>
    <t>Audited financials / CMA</t>
  </si>
  <si>
    <t>Quarterly</t>
  </si>
  <si>
    <t>Sign(CFO) &amp; count of consecutive negative periods</t>
  </si>
  <si>
    <t>Positive CFO = 0  |  1 negative period = 15  |  2 consecutive periods = 30  |  ≥3 consecutive period or severe negative = 40</t>
  </si>
  <si>
    <t>CM-005</t>
  </si>
  <si>
    <t>Current Ratio</t>
  </si>
  <si>
    <t>Weak current ratio</t>
  </si>
  <si>
    <t>Current assets lower compared to current liabilities</t>
  </si>
  <si>
    <t>Compute Current Ratio then compare to threshold bands</t>
  </si>
  <si>
    <t>&gt;=1.33 = 0  |  1.10-1.32 = 10  |  1.00-1.09 = 20  |  &lt;1.00 = 35</t>
  </si>
  <si>
    <t>CM-006</t>
  </si>
  <si>
    <t>Audit opinion classification</t>
  </si>
  <si>
    <t>Adverse audit remarks</t>
  </si>
  <si>
    <t>Audit</t>
  </si>
  <si>
    <t>Qualified audit opinion or going concern issue</t>
  </si>
  <si>
    <t>External + Internal Docs</t>
  </si>
  <si>
    <t>Audited financials and Ministry of Corporate Affairs (MCA) filings</t>
  </si>
  <si>
    <t>Qualitative</t>
  </si>
  <si>
    <t>Annual</t>
  </si>
  <si>
    <t>Classify event severity for 'Adverse audit remarks' (no numeric calc)</t>
  </si>
  <si>
    <t>No issue = 0  |  delayed/minor qualification = 10  |  material qualification/change = 25  |  going concern/adverse = 40</t>
  </si>
  <si>
    <t>CM-007</t>
  </si>
  <si>
    <t>NCLT/IBC admission status</t>
  </si>
  <si>
    <t>NCLT/IBC proceedings</t>
  </si>
  <si>
    <t>Insolvency</t>
  </si>
  <si>
    <t>Insolvency filing against borrower or group</t>
  </si>
  <si>
    <t>External (Legal DB)</t>
  </si>
  <si>
    <t>Court/NCLT DB or paid aggregator</t>
  </si>
  <si>
    <t>Event</t>
  </si>
  <si>
    <t>NCLT/IBC admission = TRUE/FALSE</t>
  </si>
  <si>
    <t>No case = 0  |  civil/regulatory notice = 15  |  multiple/material cases = 30  |  IBC/NCLT = 50</t>
  </si>
  <si>
    <t>CM-008</t>
  </si>
  <si>
    <t>Restructuring request status</t>
  </si>
  <si>
    <t>Frequent restructuring requests</t>
  </si>
  <si>
    <t>Credit Risk</t>
  </si>
  <si>
    <t>Moratorium, repayment extension, lower interest request</t>
  </si>
  <si>
    <t>Map in data discovery</t>
  </si>
  <si>
    <t>Check restructuring request status</t>
  </si>
  <si>
    <t>No request = 0  |  informal request = 15  |  formal restructuring = 30  |  repeated = 40</t>
  </si>
  <si>
    <t>CM-009</t>
  </si>
  <si>
    <t>Security/collateral cover ratio</t>
  </si>
  <si>
    <t>Reduction in security cover</t>
  </si>
  <si>
    <t>Collateral Risk</t>
  </si>
  <si>
    <t>Collateral value falling</t>
  </si>
  <si>
    <t>Internal Tracker</t>
  </si>
  <si>
    <t>Collateral register + valuer</t>
  </si>
  <si>
    <t>Compute Security/collateral cover ratio then compare to threshold bands</t>
  </si>
  <si>
    <t>≥1.25 (adequate) = 0 | 1.10–1.25 (minor shortfall) = 15 | 1.00–1.10 (major shortfall) = 30 | &lt;1.00 (under-secured) = 40</t>
  </si>
  <si>
    <t>CM-010</t>
  </si>
  <si>
    <t>Insurance validity / days to expiry</t>
  </si>
  <si>
    <t>Insurance policy expiry</t>
  </si>
  <si>
    <t>Stock/property/machinery insurance not renewed</t>
  </si>
  <si>
    <t>Collateral/insurance register + valuer</t>
  </si>
  <si>
    <t>DaysToExpiry(insurance); lapsed = TRUE/FALSE</t>
  </si>
  <si>
    <t>Adequate/current = 0  |  minor shortfall/lapse = 15  |  major shortfall/lapse = 30  |  uninsured/under-secured = 40</t>
  </si>
  <si>
    <t>CM-011</t>
  </si>
  <si>
    <t>Top-customer revenue concentration %</t>
  </si>
  <si>
    <t>Concentration of customers</t>
  </si>
  <si>
    <t>Business Risk</t>
  </si>
  <si>
    <t>High sales from one or few customers</t>
  </si>
  <si>
    <t>Bank Core System (CBS) + Financials Statement</t>
  </si>
  <si>
    <t>Compute Top-customer revenue concentration % then compare to threshold bands</t>
  </si>
  <si>
    <t>&lt;25% exposure = 0  |  25-40% = 10  |  40-60% = 20  |  &gt;60% = 30</t>
  </si>
  <si>
    <t>CM-012</t>
  </si>
  <si>
    <t>Top-supplier purchase concentration %</t>
  </si>
  <si>
    <t>Concentration of suppliers</t>
  </si>
  <si>
    <t>Dependence on few suppliers</t>
  </si>
  <si>
    <t>Compute Top-supplier purchase concentration % then compare to threshold bands</t>
  </si>
  <si>
    <t>CM-013</t>
  </si>
  <si>
    <t>Sector stress classification x exposure</t>
  </si>
  <si>
    <t>Industry slowdown</t>
  </si>
  <si>
    <t>Industry Risk</t>
  </si>
  <si>
    <t>Sector-level demand decline or margin pressure</t>
  </si>
  <si>
    <t>External (News/Media)</t>
  </si>
  <si>
    <t>News/media feeds and NLP-based relevance</t>
  </si>
  <si>
    <t>Classify event severity for 'Industry slowdown' (no numeric calc)</t>
  </si>
  <si>
    <t>Low exposure = 0  |  moderate exposure/stress = 10  |  high stress = 20  |  severe disruption = 35</t>
  </si>
  <si>
    <t>CM-014</t>
  </si>
  <si>
    <t>Commodity exposure/stress classification</t>
  </si>
  <si>
    <t>Commodity price volatility</t>
  </si>
  <si>
    <t>Raw material cost increase or selling price fall</t>
  </si>
  <si>
    <t>Classify event severity for 'Commodity price volatility' (no numeric calc)</t>
  </si>
  <si>
    <t>CM-015</t>
  </si>
  <si>
    <t>Geopolitical exposure classification</t>
  </si>
  <si>
    <t>Geopolitical risk exposure</t>
  </si>
  <si>
    <t>Geopolitical Risk</t>
  </si>
  <si>
    <t>Exports/imports to conflict-prone countries</t>
  </si>
  <si>
    <t>Classify event severity for 'Geopolitical risk exposure' (no numeric calc)</t>
  </si>
  <si>
    <t>CM-016</t>
  </si>
  <si>
    <t>Project schedule variance %</t>
  </si>
  <si>
    <t>Project implementation delay</t>
  </si>
  <si>
    <t>Project Finance Risk</t>
  </si>
  <si>
    <t>Time overrun in project loans</t>
  </si>
  <si>
    <t>Compute Project schedule variance % then compare to threshold bands</t>
  </si>
  <si>
    <t>On track = 0  |  delay up to 10% = 10  |  10-25% = 25  |  &gt;25% or stopped = 40</t>
  </si>
  <si>
    <t>CM-017</t>
  </si>
  <si>
    <t>Project cost variance %</t>
  </si>
  <si>
    <t>Cost overrun in project</t>
  </si>
  <si>
    <t>Actual cost higher than original estimate</t>
  </si>
  <si>
    <t>Compute Project cost variance % then compare to threshold bands</t>
  </si>
  <si>
    <t>On track = 0  |  cost overrun up to 10% = 10  |  10-25% = 25  |  &gt;25% or stopped = 40</t>
  </si>
  <si>
    <t>CM-018</t>
  </si>
  <si>
    <t>Plant Shutdown</t>
  </si>
  <si>
    <t>Plant shutdown</t>
  </si>
  <si>
    <t>Operational Risk</t>
  </si>
  <si>
    <t>Occurrence, duration and extent of plant shutdown</t>
  </si>
  <si>
    <t>Manual</t>
  </si>
  <si>
    <t>RM / site-visit / inspection reports</t>
  </si>
  <si>
    <t>Assess shutdown status and duration</t>
  </si>
  <si>
    <t>No shutdown = 0 | Temporary shutdown = 10 | Shutdown &gt;15 days = 20 | Shutdown &gt;30 days / prolonged shutdown = 30</t>
  </si>
  <si>
    <t>CM-019</t>
  </si>
  <si>
    <t>Cyber/operational disruption classification</t>
  </si>
  <si>
    <t>Cyber incident or operational disruption</t>
  </si>
  <si>
    <t>System outage, ransomware, data breach</t>
  </si>
  <si>
    <t>Classify event severity for 'Cyber incident or operational disruption' (no numeric calc)</t>
  </si>
  <si>
    <t>No incident = 0  |  minor incident = 10  |  major disruption = 25  |  prolonged outage/data loss = 40</t>
  </si>
  <si>
    <t>CM-020</t>
  </si>
  <si>
    <t>End-use compliance status</t>
  </si>
  <si>
    <t>Non-compliance with end-use certificate</t>
  </si>
  <si>
    <t>Compliance</t>
  </si>
  <si>
    <t>End-use certificate not submitted or mismatch found</t>
  </si>
  <si>
    <t>Classify event severity for 'Non-compliance with end-use certificate' (no numeric calc)</t>
  </si>
  <si>
    <t>Compliant = 0  |  delayed certificate = 10  |  mismatch = 25  |  misuse confirmed = 50</t>
  </si>
  <si>
    <t>CM-021</t>
  </si>
  <si>
    <t>Count of overdue events (rolling 3-6m)</t>
  </si>
  <si>
    <t>Frequent overdues</t>
  </si>
  <si>
    <t>Number of times borrower delays payment in last 3-6 months</t>
  </si>
  <si>
    <t>COUNT(overdue events) in rolling 3-6 months</t>
  </si>
  <si>
    <t>0 instances = 0  |  1 instance = 5  |  2 instances = 15  |  3+ instances = 25</t>
  </si>
  <si>
    <t>Functional Logic (per indicator)</t>
  </si>
  <si>
    <t>Input → Calculation/Classification → Threshold Evaluation → Raw Score → Normalised Score. Max Score links to the Master.</t>
  </si>
  <si>
    <t>Step 1 — Input (What to Track)</t>
  </si>
  <si>
    <t>Step 2 — Calculation / Classification</t>
  </si>
  <si>
    <t>Step 3 — Threshold Evaluation (bands)</t>
  </si>
  <si>
    <t>Step 4 — Raw Score rule</t>
  </si>
  <si>
    <t>Step 5 — Normalised Score</t>
  </si>
  <si>
    <t>Raw Score = score of the single band whose condition the borrower value satisfies; 0 if none is breached.</t>
  </si>
  <si>
    <t>Normalised = Raw ÷ Max Score × 100 (0–100). Fed into the Overall Score Engine.</t>
  </si>
  <si>
    <t>Threshold &amp; Scoring Engine — Machine-Readable Rules + Remedial Playbook</t>
  </si>
  <si>
    <t>One row per band. Rule Type/Lower/Upper/Operator are data-type driven; Normalised@Band &amp; Is-Max are live; key = UID|Raw.</t>
  </si>
  <si>
    <t>Metric / Input</t>
  </si>
  <si>
    <t>Band Order</t>
  </si>
  <si>
    <t>Rule Type</t>
  </si>
  <si>
    <t>Lower Bound</t>
  </si>
  <si>
    <t>Upper Bound</t>
  </si>
  <si>
    <t>Operator</t>
  </si>
  <si>
    <t>Raw Score</t>
  </si>
  <si>
    <t>Normalised @ Band</t>
  </si>
  <si>
    <t>Is Max Band</t>
  </si>
  <si>
    <t>Critical Event Flag</t>
  </si>
  <si>
    <t>What it signals &amp; likely drivers</t>
  </si>
  <si>
    <t>Remedial action plan (step-by-step)</t>
  </si>
  <si>
    <t>Primary owner</t>
  </si>
  <si>
    <t>key (helper)</t>
  </si>
  <si>
    <t>0 days</t>
  </si>
  <si>
    <t>Count/Days Exact</t>
  </si>
  <si>
    <t>exactly = value</t>
  </si>
  <si>
    <t>Normal — no days past due; servicing on time.</t>
  </si>
  <si>
    <t>No remedial action required. Continue routine monitoring at the standard review cycle and record the reading.</t>
  </si>
  <si>
    <t>RM (routine)</t>
  </si>
  <si>
    <t>1-30 DPD</t>
  </si>
  <si>
    <t>Days Range</t>
  </si>
  <si>
    <t>≥ lower &amp; ≤ upper</t>
  </si>
  <si>
    <t>Early warning — 1–30 days past due (SMA-0); a short cash-flow slip.</t>
  </si>
  <si>
    <t>1) Contact the borrower; obtain the reason and a dated payment commitment. 2) Tag SMA-0. 3) Watch daily.</t>
  </si>
  <si>
    <t>Relationship Manager (Branch)</t>
  </si>
  <si>
    <t>31-60 DPD</t>
  </si>
  <si>
    <t>Elevated concern — 31–60 days past due (SMA-1); persistent delay indicating liquidity stress.</t>
  </si>
  <si>
    <t>1) Escalate follow-up; RM engagement. 2) Tag SMA-1; obtain a corrective plan. 3) Review limit conduct.</t>
  </si>
  <si>
    <t>RM + Credit Analyst</t>
  </si>
  <si>
    <t>61-90 DPD</t>
  </si>
  <si>
    <t>High concern — 61–90 days past due (SMA-2); serious delinquency approaching NPA.</t>
  </si>
  <si>
    <t>1) Tag SMA-2; issue a formal notice. 2) Assess security and recovery options. 3) Escalate to Credit; provisioning review.</t>
  </si>
  <si>
    <t>Credit Committee / Zonal Credit</t>
  </si>
  <si>
    <t>90+ DPD</t>
  </si>
  <si>
    <t>Days Threshold</t>
  </si>
  <si>
    <t>&gt; lower</t>
  </si>
  <si>
    <t>Severe / critical — 90+ days past due; NPA-level default.</t>
  </si>
  <si>
    <t>1) Classify NPA per norms and provide. 2) Invoke recovery / SARFAESI as warranted. 3) Escalate to Credit Committee / Recovery.</t>
  </si>
  <si>
    <t>Credit Head / Risk</t>
  </si>
  <si>
    <t>No breach</t>
  </si>
  <si>
    <t>Percent Threshold</t>
  </si>
  <si>
    <t>≤ upper</t>
  </si>
  <si>
    <t>Normal — outstanding within the sanctioned DP/limit.</t>
  </si>
  <si>
    <t>Up to 5% breach</t>
  </si>
  <si>
    <t>Percent Range</t>
  </si>
  <si>
    <t>&gt; lower &amp; ≤ upper</t>
  </si>
  <si>
    <t>Early warning — excess up to 5%; minor, likely a timing over-draw.</t>
  </si>
  <si>
    <t>1) Regularise the excess promptly. 2) Ascertain the reason. 3) Allow no fresh excess.</t>
  </si>
  <si>
    <t>5-10%</t>
  </si>
  <si>
    <t>Elevated concern — excess 5–10%; recurring over-limit use — DP or limit pressure.</t>
  </si>
  <si>
    <t>1) Review DP/limit adequacy vs turnover. 2) Restrict further drawals. 3) Monitor; flag to Credit.</t>
  </si>
  <si>
    <t>&gt;10% or repeated</t>
  </si>
  <si>
    <t>&gt; lower (or repeated breach)</t>
  </si>
  <si>
    <t>Severe / critical — excess &gt;10% or repeated breaches; persistent over-drawing / liquidity stress.</t>
  </si>
  <si>
    <t>1) Freeze fresh drawals pending review. 2) Reassess limits and conduct; corrective plan. 3) Escalate to Credit.</t>
  </si>
  <si>
    <t>Stable/increasing</t>
  </si>
  <si>
    <t>&lt; upper</t>
  </si>
  <si>
    <t>Normal — GST turnover stable or rising; activity intact.</t>
  </si>
  <si>
    <t>10-20% decline</t>
  </si>
  <si>
    <t>≥ lower &amp; &lt; upper</t>
  </si>
  <si>
    <t>Early warning — GST turnover down 10–20%; early softening or partial under-reporting.</t>
  </si>
  <si>
    <t>1) Reconcile GST vs book sales vs bank credits. 2) Obtain the reason. 3) Monitor monthly.</t>
  </si>
  <si>
    <t>20-40% decline</t>
  </si>
  <si>
    <t>Elevated concern — down 20–40%; material fall — demand loss or diversion of billing.</t>
  </si>
  <si>
    <t>1) Reassess WC and projections. 2) Investigate under-reporting/diversion. 3) Enhanced monitoring; flag to Credit.</t>
  </si>
  <si>
    <t>&gt;40% decline</t>
  </si>
  <si>
    <t>≥ lower</t>
  </si>
  <si>
    <t>Severe / critical — down &gt;40%; severe — sharp contraction or suppressed reporting.</t>
  </si>
  <si>
    <t>1) Full turnover/viability review; verify against e-way bills/returns. 2) Corrective plan. 3) Escalate to Credit.</t>
  </si>
  <si>
    <t>Positive CFO</t>
  </si>
  <si>
    <t>Count Exact</t>
  </si>
  <si>
    <t>exactly = value (positive CFO)</t>
  </si>
  <si>
    <t>Normal — operating cash flow positive; self-funding operations.</t>
  </si>
  <si>
    <t>1 negative period</t>
  </si>
  <si>
    <t>exactly = value (1 negative period)</t>
  </si>
  <si>
    <t>Elevated concern — one negative CFO period; isolated — watch for persistence.</t>
  </si>
  <si>
    <t>1) Analyse the CFO driver (WC swing vs loss). 2) Obtain an explanation. 3) Monitor next period.</t>
  </si>
  <si>
    <t>2 consecutive periods</t>
  </si>
  <si>
    <t>exactly = value (2 consecutive)</t>
  </si>
  <si>
    <t>High concern — two consecutive negative CFO periods; operations not generating cash.</t>
  </si>
  <si>
    <t>1) Reassess debt-servicing capacity. 2) Seek promoter support; enhanced monitoring. 3) Flag to Credit.</t>
  </si>
  <si>
    <t>severe negative</t>
  </si>
  <si>
    <t>Count Threshold</t>
  </si>
  <si>
    <t>≥ lower (or severe negative)</t>
  </si>
  <si>
    <t>Severe / critical — severe negative CFO; operations consuming significant cash — acute stress.</t>
  </si>
  <si>
    <t>1) Reassess viability / restructuring need. 2) Corrective cash-flow plan. 3) Escalate to Credit.</t>
  </si>
  <si>
    <t>&gt;=1.33</t>
  </si>
  <si>
    <t>Ratio Threshold</t>
  </si>
  <si>
    <t>Normal — current ratio ≥1.33; comfortable short-term liquidity.</t>
  </si>
  <si>
    <t>1.10-1.32</t>
  </si>
  <si>
    <t>Ratio Range</t>
  </si>
  <si>
    <t>Early warning — current ratio 1.10–1.32; adequate but easing liquidity.</t>
  </si>
  <si>
    <t>1) Note the easing; review the WC position. 2) Watch the next statement.</t>
  </si>
  <si>
    <t>1.00-1.09</t>
  </si>
  <si>
    <t>Elevated concern — current ratio 1.00–1.09; thin liquidity buffer.</t>
  </si>
  <si>
    <t>1) Assess NWC adequacy; seek promoter infusion. 2) Enhanced monitoring. 3) Flag to Credit.</t>
  </si>
  <si>
    <t>&lt;1.00</t>
  </si>
  <si>
    <t>Severe / critical — current ratio below 1.00; current liabilities exceed current assets — liquidity stress.</t>
  </si>
  <si>
    <t>1) Reassess limits and liquidity; corrective plan. 2) Monitor closely. 3) Escalate to Credit.</t>
  </si>
  <si>
    <t>No issue</t>
  </si>
  <si>
    <t>Ordinal Classification</t>
  </si>
  <si>
    <t>Normal — clean audit opinion; reliable reporting.</t>
  </si>
  <si>
    <t>delayed/minor qualification</t>
  </si>
  <si>
    <t>Early warning — delayed audit or a minor qualification; low-level concern.</t>
  </si>
  <si>
    <t>1) Read the qualification; assess materiality. 2) Seek clarification. 3) Monitor.</t>
  </si>
  <si>
    <t>material qualification/change</t>
  </si>
  <si>
    <t>Elevated concern — material qualification or an auditor change; reporting reliability in question.</t>
  </si>
  <si>
    <t>1) Adjust the analysis for the qualification. 2) Independent/special review. 3) Escalate to Credit.</t>
  </si>
  <si>
    <t>going concern/adverse</t>
  </si>
  <si>
    <t>Severe / critical — going-concern or adverse opinion; doubt over viability.</t>
  </si>
  <si>
    <t>1) Treat as a material adverse change; forensic review. 2) Reassess exposure and security. 3) Escalate to Credit Committee.</t>
  </si>
  <si>
    <t>No case</t>
  </si>
  <si>
    <t>Normal — no insolvency/legal proceedings; clean status.</t>
  </si>
  <si>
    <t>civil/regulatory notice</t>
  </si>
  <si>
    <t>Early warning — a civil/regulatory notice; early legal exposure.</t>
  </si>
  <si>
    <t>1) Obtain case details; assess materiality. 2) Legal review. 3) Monitor.</t>
  </si>
  <si>
    <t>multiple/material cases</t>
  </si>
  <si>
    <t>Elevated concern — multiple or material cases; escalating legal risk.</t>
  </si>
  <si>
    <t>1) Quantify exposure; provision if material. 2) Protect the bank's charge. 3) Escalate to Credit/Legal.</t>
  </si>
  <si>
    <t>IBC/NCLT</t>
  </si>
  <si>
    <t>Severe / critical — IBC/NCLT admission; a default/recovery event.</t>
  </si>
  <si>
    <t>1) Verify status; file/protect the claim. 2) Participate in the CoC; full provisioning. 3) Escalate to Credit Committee / Recovery.</t>
  </si>
  <si>
    <t>Credit Head / Legal / Recovery</t>
  </si>
  <si>
    <t>No request</t>
  </si>
  <si>
    <t>Normal — no restructuring sought; performing to terms.</t>
  </si>
  <si>
    <t>informal request</t>
  </si>
  <si>
    <t>Elevated concern — an informal restructuring/moratorium enquiry; early stress signal.</t>
  </si>
  <si>
    <t>1) Obtain the rationale; assess genuine stress vs willful. 2) Seek cash-flow data. 3) Monitor.</t>
  </si>
  <si>
    <t>formal restructuring</t>
  </si>
  <si>
    <t>High concern — a formal restructuring request; acknowledged inability to service on current terms.</t>
  </si>
  <si>
    <t>1) Conduct a viability/TEV assessment under the applicable framework. 2) Determine sacrifice/provisioning. 3) Escalate to Credit.</t>
  </si>
  <si>
    <t>repeated</t>
  </si>
  <si>
    <t>Severe / critical — repeated restructuring; chronic stress / evergreening risk.</t>
  </si>
  <si>
    <t>1) Treat as chronic stress; guard against evergreening. 2) Reassess exit/recovery. 3) Escalate to Credit Committee.</t>
  </si>
  <si>
    <t>≥1.25 (adequate)</t>
  </si>
  <si>
    <t>Normal — collateral cover adequate and current.</t>
  </si>
  <si>
    <t>1.10–1.25 (minor shortfall)</t>
  </si>
  <si>
    <t>Elevated concern — a minor shortfall or lapse in cover; top-up needed.</t>
  </si>
  <si>
    <t>1) Revalue security; seek a top-up. 2) Adjust DP to available cover. 3) Monitor to closure.</t>
  </si>
  <si>
    <t>1.00–1.10 (major shortfall)</t>
  </si>
  <si>
    <t>High concern — a major shortfall; the exposure is materially under-secured.</t>
  </si>
  <si>
    <t>1) Obtain additional collateral/margin. 2) Reduce exposure to cover; reprice. 3) Escalate to Credit.</t>
  </si>
  <si>
    <t>&lt;1.00 (under-secured)</t>
  </si>
  <si>
    <t>Severe / critical — uninsured / significantly under-secured; the bank's security is impaired.</t>
  </si>
  <si>
    <t>1) Demand additional security or accelerated repayment. 2) Perfect/protect the charge. 3) Escalate to Credit Committee.</t>
  </si>
  <si>
    <t>Adequate/current</t>
  </si>
  <si>
    <t>Normal — insurance valid and adequate with the bank clause.</t>
  </si>
  <si>
    <t>minor shortfall/lapse</t>
  </si>
  <si>
    <t>Elevated concern — a minor lapse or approaching expiry; renewal needed.</t>
  </si>
  <si>
    <t>1) Follow up for renewal with the bank clause; note the expiry. 2) Obtain the policy. 3) Monitor.</t>
  </si>
  <si>
    <t>major shortfall/lapse</t>
  </si>
  <si>
    <t>High concern — a major lapse; charged assets materially uninsured.</t>
  </si>
  <si>
    <t>1) Insist on immediate renewal; set a debit mandate. 2) Verify adequate sum insured. 3) Escalate to Credit.</t>
  </si>
  <si>
    <t>uninsured/under-secured</t>
  </si>
  <si>
    <t>Severe / critical — assets uninsured for a prolonged period; security exposed.</t>
  </si>
  <si>
    <t>1) Bank to insure at the borrower's cost. 2) Record a covenant breach; reassess risk. 3) Escalate to Credit Committee.</t>
  </si>
  <si>
    <t>&lt;25% exposure</t>
  </si>
  <si>
    <t>Normal — top-customer concentration below 25%; well diversified.</t>
  </si>
  <si>
    <t>25-40%</t>
  </si>
  <si>
    <t>Early warning — concentration 25–40%; moderate dependence on a key customer.</t>
  </si>
  <si>
    <t>1) Review the customer mix. 2) Encourage diversification. 3) Monitor the key customer's health.</t>
  </si>
  <si>
    <t>40-60%</t>
  </si>
  <si>
    <t>Elevated concern — concentration 40–60%; high dependence — demand-loss risk.</t>
  </si>
  <si>
    <t>1) Assess the key customer's creditworthiness. 2) Reassess viability on concentration risk. 3) Flag to Credit.</t>
  </si>
  <si>
    <t>&gt;60%</t>
  </si>
  <si>
    <t>Severe / critical — concentration above 60%; severe single-customer dependence.</t>
  </si>
  <si>
    <t>1) Stress-test loss of the key customer. 2) Contingency/viability review. 3) Escalate to Credit.</t>
  </si>
  <si>
    <t>Normal — top-supplier concentration below 25%; diversified sourcing.</t>
  </si>
  <si>
    <t>Early warning — concentration 25–40%; moderate supplier dependence.</t>
  </si>
  <si>
    <t>1) Review the sourcing mix. 2) Encourage alternate suppliers. 3) Monitor.</t>
  </si>
  <si>
    <t>Elevated concern — concentration 40–60%; high dependence — supply-disruption risk.</t>
  </si>
  <si>
    <t>1) Assess supply-continuity risk. 2) Reassess viability. 3) Flag to Credit.</t>
  </si>
  <si>
    <t>Severe / critical — concentration above 60%; severe single-supplier dependence.</t>
  </si>
  <si>
    <t>1) Stress-test loss of the key supplier. 2) Contingency/viability review. 3) Escalate to Credit.</t>
  </si>
  <si>
    <t>Low exposure</t>
  </si>
  <si>
    <t>Normal — low exposure to sector stress; benign.</t>
  </si>
  <si>
    <t>moderate exposure/stress</t>
  </si>
  <si>
    <t>Early warning — moderate sector exposure/stress; monitor headwinds.</t>
  </si>
  <si>
    <t>1) Note the sector outlook. 2) Assess the borrower's relative position. 3) Monitor.</t>
  </si>
  <si>
    <t>high stress</t>
  </si>
  <si>
    <t>Elevated concern — high sector stress affecting the borrower's segment.</t>
  </si>
  <si>
    <t>1) Reassess sector exposure and pricing. 2) Enhanced monitoring. 3) Flag to Credit.</t>
  </si>
  <si>
    <t>severe disruption</t>
  </si>
  <si>
    <t>Severe / critical — severe sector disruption; a systemic threat to the business.</t>
  </si>
  <si>
    <t>1) Reassess viability under sector stress. 2) De-risk exposure where feasible. 3) Escalate to Credit.</t>
  </si>
  <si>
    <t>Normal — low commodity-price exposure.</t>
  </si>
  <si>
    <t>Early warning — moderate commodity exposure; margin sensitivity.</t>
  </si>
  <si>
    <t>1) Assess the pass-through ability. 2) Encourage hedging. 3) Monitor margins.</t>
  </si>
  <si>
    <t>Elevated concern — high commodity stress squeezing margins.</t>
  </si>
  <si>
    <t>1) Reassess margins; stipulate hedging where feasible. 2) Enhanced monitoring. 3) Flag to Credit.</t>
  </si>
  <si>
    <t>Severe / critical — severe commodity shock; margins/viability threatened.</t>
  </si>
  <si>
    <t>1) Viability review under the commodity shock. 2) Corrective plan. 3) Escalate to Credit.</t>
  </si>
  <si>
    <t>Normal — low geopolitical/cross-border exposure.</t>
  </si>
  <si>
    <t>Early warning — moderate exposure to an affected geography.</t>
  </si>
  <si>
    <t>1) Map the exposure to the affected geography. 2) Assess receivables/supply risk. 3) Monitor.</t>
  </si>
  <si>
    <t>Elevated concern — high geopolitical exposure disrupting trade/receivables.</t>
  </si>
  <si>
    <t>1) Reassess exposure; seek ECGC cover / re-routing. 2) Enhanced monitoring. 3) Flag to Credit.</t>
  </si>
  <si>
    <t>Severe / critical — severe disruption from geopolitical events.</t>
  </si>
  <si>
    <t>1) Contingency/viability review. 2) Protect the bank's position. 3) Escalate to Credit.</t>
  </si>
  <si>
    <t>On track</t>
  </si>
  <si>
    <t>Normal — project on schedule; no cost/time overrun.</t>
  </si>
  <si>
    <t>delay up to 10%</t>
  </si>
  <si>
    <t>Early warning — up to 10% delay/overrun; minor slippage.</t>
  </si>
  <si>
    <t>1) Review the revised schedule. 2) Confirm funding for the small overrun. 3) Monitor milestones.</t>
  </si>
  <si>
    <t>10-25%</t>
  </si>
  <si>
    <t>Elevated concern — 10–25% overrun; material schedule/cost slippage — DCCO risk.</t>
  </si>
  <si>
    <t>1) Reassess cost and means-of-finance. 2) Assess the DCCO impact. 3) Flag to Credit.</t>
  </si>
  <si>
    <t>&gt;25% or stopped</t>
  </si>
  <si>
    <t>&gt; lower (or project stopped)</t>
  </si>
  <si>
    <t>Severe / critical — &gt;25% overrun or the project has stopped; severe — viability/DCCO threat.</t>
  </si>
  <si>
    <t>1) DCCO / restructuring assessment; tie up the funding gap. 2) Provisioning review. 3) Escalate to Credit.</t>
  </si>
  <si>
    <t>Normal — project cost within estimate.</t>
  </si>
  <si>
    <t>cost overrun up to 10%</t>
  </si>
  <si>
    <t>Early warning — cost overrun up to 10%; minor and fundable.</t>
  </si>
  <si>
    <t>1) Confirm the overrun and the funding tie-up. 2) Monitor.</t>
  </si>
  <si>
    <t>Elevated concern — 10–25% cost overrun; a funding gap is opening.</t>
  </si>
  <si>
    <t>1) Assess additional means-of-finance / promoter contribution. 2) Reassess viability. 3) Flag to Credit.</t>
  </si>
  <si>
    <t>Severe / critical — &gt;25% overrun or stalled; severe funding-gap/viability risk.</t>
  </si>
  <si>
    <t>1) Tie up the funding gap; viability/restructuring review. 2) Provisioning review. 3) Escalate to Credit.</t>
  </si>
  <si>
    <t>No shutdown</t>
  </si>
  <si>
    <t>Days Exact</t>
  </si>
  <si>
    <t>Normal — plant operating normally; no shutdown.</t>
  </si>
  <si>
    <t>Temporary shutdown</t>
  </si>
  <si>
    <t>&lt; upper (temporary)</t>
  </si>
  <si>
    <t>Early warning — a temporary/short shutdown; limited impact.</t>
  </si>
  <si>
    <t>1) Ascertain the reason and expected restart. 2) Assess the limited impact. 3) Monitor.</t>
  </si>
  <si>
    <t>Shutdown &gt;15 days</t>
  </si>
  <si>
    <t>Elevated concern — shutdown exceeding 15 days; material production/cash-flow loss.</t>
  </si>
  <si>
    <t>1) Assess the cash-flow/production impact. 2) Engage the borrower on restart. 3) Flag to Credit.</t>
  </si>
  <si>
    <t>Shutdown &gt;30 days / prolonged shutdown</t>
  </si>
  <si>
    <t>Severe / critical — shutdown over 30 days or prolonged; severe revenue disruption.</t>
  </si>
  <si>
    <t>1) Reassess viability given prolonged closure. 2) Protect security. 3) Escalate to Credit.</t>
  </si>
  <si>
    <t>No incident</t>
  </si>
  <si>
    <t>Normal — no cyber/operational incident.</t>
  </si>
  <si>
    <t>minor incident</t>
  </si>
  <si>
    <t>Early warning — a minor incident; limited, contained impact.</t>
  </si>
  <si>
    <t>1) Ascertain the scope. 2) Confirm recovery. 3) Monitor.</t>
  </si>
  <si>
    <t>major disruption</t>
  </si>
  <si>
    <t>Elevated concern — a major disruption to operations.</t>
  </si>
  <si>
    <t>1) Assess the operational/financial impact. 2) Reassess resilience. 3) Flag to Credit.</t>
  </si>
  <si>
    <t>prolonged outage/data loss</t>
  </si>
  <si>
    <t>Severe / critical — a prolonged outage or data loss; severe continuity risk.</t>
  </si>
  <si>
    <t>1) Continuity/viability review. 2) Protect the bank's position. 3) Escalate to Credit.</t>
  </si>
  <si>
    <t>Compliant</t>
  </si>
  <si>
    <t>Normal — funds used for the sanctioned purpose; compliant.</t>
  </si>
  <si>
    <t>delayed certificate</t>
  </si>
  <si>
    <t>Early warning — end-use certificate delayed; verification pending.</t>
  </si>
  <si>
    <t>1) Follow up for the CA end-use certificate. 2) Verify utilisation. 3) Monitor.</t>
  </si>
  <si>
    <t>mismatch</t>
  </si>
  <si>
    <t>Elevated concern — an end-use mismatch; funds partly used off-purpose.</t>
  </si>
  <si>
    <t>1) Commission an end-use audit. 2) Tighten disbursement; caution the borrower. 3) Flag to Credit.</t>
  </si>
  <si>
    <t>misuse confirmed</t>
  </si>
  <si>
    <t>Severe / critical — confirmed misuse/diversion of loan funds.</t>
  </si>
  <si>
    <t>1) Confirmed diversion — treat as a serious breach; forensic audit. 2) Freeze/recall as warranted. 3) Escalate to Credit Committee; legal action.</t>
  </si>
  <si>
    <t>Credit Head / Risk / Fraud</t>
  </si>
  <si>
    <t>0 instances</t>
  </si>
  <si>
    <t>Normal — no overdue events in the window; clean conduct.</t>
  </si>
  <si>
    <t>1 instance</t>
  </si>
  <si>
    <t>Early warning — one overdue event; an isolated slip.</t>
  </si>
  <si>
    <t>1) Note the event and reason. 2) Caution informally. 3) Watch the next cycle.</t>
  </si>
  <si>
    <t>2 instances</t>
  </si>
  <si>
    <t>Elevated concern — two overdue events; a pattern forming.</t>
  </si>
  <si>
    <t>1) Obtain a written explanation. 2) Enforce due-date discipline. 3) Place on the watch-list.</t>
  </si>
  <si>
    <t>3+ instances</t>
  </si>
  <si>
    <t>Severe / critical — three or more overdue events; persistent irregularity / stress.</t>
  </si>
  <si>
    <t>1) Treat as incipient stress; SMA watch. 2) Corrective plan. 3) Escalate to Credit.</t>
  </si>
  <si>
    <t>Overall Score Engine (Live Calculator)</t>
  </si>
  <si>
    <t>Yellow cells are inputs. Overall = average of normalised scores of applicable indicators with valid data (missing excluded, never zero). Credit Monitoring has no CRITICAL indicators, so no override applies.</t>
  </si>
  <si>
    <t>Borrower Name</t>
  </si>
  <si>
    <t>Acme Textiles Pvt Ltd</t>
  </si>
  <si>
    <t>Assessment Date</t>
  </si>
  <si>
    <t>31-Aug-2026</t>
  </si>
  <si>
    <t>Total Indicators</t>
  </si>
  <si>
    <t>Applicable Indicators</t>
  </si>
  <si>
    <t>Indicators relevant to this borrower (N/A excluded).</t>
  </si>
  <si>
    <t>Scored (valid data)</t>
  </si>
  <si>
    <t>Applicable AND data available AND a raw score entered.</t>
  </si>
  <si>
    <t>Missing Data (applicable)</t>
  </si>
  <si>
    <t>Applicable but no data — EXCLUDED from the average (not treated as zero).</t>
  </si>
  <si>
    <t>Not Applicable (N/A)</t>
  </si>
  <si>
    <t>Data Coverage %</t>
  </si>
  <si>
    <t>Reported separately; does NOT affect the Overall Score.</t>
  </si>
  <si>
    <t>Sum of Normalised (scored)</t>
  </si>
  <si>
    <t>Overall EWS Score</t>
  </si>
  <si>
    <t>Average of normalised scores of applicable indicators with valid data.</t>
  </si>
  <si>
    <t>Numeric Risk Band</t>
  </si>
  <si>
    <t>Band implied by the Overall Score alone (before critical override).</t>
  </si>
  <si>
    <t>Critical Override Triggered?</t>
  </si>
  <si>
    <t>YES if any CRITICAL indicator reaches the override trigger ('6. Risk Bands (Config)'!$B$6).</t>
  </si>
  <si>
    <t>Critical Indicators Fired</t>
  </si>
  <si>
    <t>None</t>
  </si>
  <si>
    <t>FINAL STATUS</t>
  </si>
  <si>
    <t>Final Interpretation</t>
  </si>
  <si>
    <t>Traceability: FINAL STATUS ← Overall Score / Critical Override ← per-indicator Normalised ← Raw Score ← borrower Observed Value ← applicable threshold band.</t>
  </si>
  <si>
    <t>Critical</t>
  </si>
  <si>
    <t>Applicable (Y/N)</t>
  </si>
  <si>
    <t>Data Available (Y/N)</t>
  </si>
  <si>
    <t>Observed Value / Note</t>
  </si>
  <si>
    <t>Scored Flag</t>
  </si>
  <si>
    <t>Normalised Score</t>
  </si>
  <si>
    <t>Critical Fire</t>
  </si>
  <si>
    <t>Crit Fire UID (helper)</t>
  </si>
  <si>
    <t>Y</t>
  </si>
  <si>
    <t>One instalment ~12 days late, since regularised  →  band '1-30 DPD'</t>
  </si>
  <si>
    <t>CC drawn ~4% over DP for a few days, since corrected  →  band 'Up to 5% breach'</t>
  </si>
  <si>
    <t>GST turnover down ~30% vs prior period  →  band '20-40% decline'</t>
  </si>
  <si>
    <t>One negative operating cash-flow quarter  →  band 'one negative period'</t>
  </si>
  <si>
    <t>Current ratio at 1.05  →  band '1.00-1.09'</t>
  </si>
  <si>
    <t>Clean audit opinion, no qualification  →  band 'No issue'</t>
  </si>
  <si>
    <t>No insolvency or legal proceedings on record  →  band 'No case'</t>
  </si>
  <si>
    <t>Informal moratorium request raised by the borrower  →  band 'informal request'</t>
  </si>
  <si>
    <t>Minor collateral-cover shortfall pending revaluation  →  band 'minor shortfall/lapse'</t>
  </si>
  <si>
    <t>Stock insurance lapsed; renewal pending  →  band 'minor shortfall/lapse'</t>
  </si>
  <si>
    <t>Top customer ~32% of revenue  →  band '25-40%'</t>
  </si>
  <si>
    <t>Top supplier ~18% of purchases  →  band '&lt;25% exposure'</t>
  </si>
  <si>
    <t>Textile sector under moderate demand stress  →  band 'moderate exposure/stress'</t>
  </si>
  <si>
    <t>Cotton-price volatility; moderate margin pressure  →  band 'moderate exposure/stress'</t>
  </si>
  <si>
    <t>N</t>
  </si>
  <si>
    <t>Not applicable to this borrower (domestic operations only)</t>
  </si>
  <si>
    <t>Not applicable to this borrower (no project/term-loan under implementation)</t>
  </si>
  <si>
    <t>Plant operating normally; no shutdown  →  band 'No shutdown'</t>
  </si>
  <si>
    <t>Applicable but data not available (cyber-risk assessment not yet available) — excluded, not zero</t>
  </si>
  <si>
    <t>End-use certified compliant by the CA  →  band 'Compliant'</t>
  </si>
  <si>
    <t>2 overdue events in the last 3-6 months  →  band '2 instances'</t>
  </si>
  <si>
    <t>Additional risk controls</t>
  </si>
  <si>
    <t>Previous Overall Score (last review)</t>
  </si>
  <si>
    <t>Optional input. Enter the prior review’s Overall Score to enable band-transition alerts.</t>
  </si>
  <si>
    <t>Score movement vs last review</t>
  </si>
  <si>
    <t>Positive = deterioration since last review.</t>
  </si>
  <si>
    <t>Data Sufficiency / Confidence</t>
  </si>
  <si>
    <t>Compares Data Coverage % to the minimum-coverage floor on the Config sheet.</t>
  </si>
  <si>
    <t>Borrower Example — End-to-End Worked Trace</t>
  </si>
  <si>
    <t>Hypothetical borrower. Every figure below is a live link to the Overall Score Engine, so the trace always matches the engine.</t>
  </si>
  <si>
    <t>Profile: Acme Textiles Pvt Ltd — unlisted MSME, working-capital (CC/OD) + term loan, domestic textile manufacturer. Under moderate stress: a GST-turnover dip, a negative CFO quarter, thin current ratio, an informal moratorium request, minor collateral/insurance lapses and a couple of overdue events. No FX, geopolitical or project exposure.</t>
  </si>
  <si>
    <t>Overall Score</t>
  </si>
  <si>
    <t>Critical Override?</t>
  </si>
  <si>
    <t>Critical Fired</t>
  </si>
  <si>
    <t>Step-by-step trace of the highest-impact indicators (Input → Threshold band → Raw → Max → Normalised). Live from the engine:</t>
  </si>
  <si>
    <t>Borrower Observation</t>
  </si>
  <si>
    <t>Raw</t>
  </si>
  <si>
    <t>Max</t>
  </si>
  <si>
    <t>Normalised</t>
  </si>
  <si>
    <t>Notes</t>
  </si>
  <si>
    <t>Contributes to the average</t>
  </si>
  <si>
    <t>Applicable, no data → excluded (not zero)</t>
  </si>
  <si>
    <t>Not applicable → excluded</t>
  </si>
  <si>
    <t>The Overall Score is the average of the normalised scores of applicable Credit-Monitoring indicators with valid data (missing data excluded, N/A excluded). Credit Monitoring has no CRITICAL-flagged indicators, so no override applies and the Final Status equals the numeric risk band.</t>
  </si>
  <si>
    <t>Risk Bands &amp; Scoring Configuration</t>
  </si>
  <si>
    <t>PROPOSED — not present in the source file. All values below are editable; every other sheet reads from here.</t>
  </si>
  <si>
    <t>Parameter</t>
  </si>
  <si>
    <t>Value</t>
  </si>
  <si>
    <t>Normalisation Base</t>
  </si>
  <si>
    <t>Normalised Score = Raw Score ÷ Maximum Score × Base</t>
  </si>
  <si>
    <t>Critical Override Trigger (Normalised ≥)</t>
  </si>
  <si>
    <t>A CRITICAL-flagged indicator whose normalised score reaches this value forces FINAL STATUS = Critical, regardless of the average.</t>
  </si>
  <si>
    <t>Risk Band</t>
  </si>
  <si>
    <t>Score From</t>
  </si>
  <si>
    <t>Score To</t>
  </si>
  <si>
    <t>Lower Bound (lookup)</t>
  </si>
  <si>
    <t>Interpretation</t>
  </si>
  <si>
    <t>Recommended Supervisory Posture</t>
  </si>
  <si>
    <t>Green</t>
  </si>
  <si>
    <t>Normal / Low Concern</t>
  </si>
  <si>
    <t>Business-as-usual monitoring at standard frequency.</t>
  </si>
  <si>
    <t>Yellow</t>
  </si>
  <si>
    <t>Early Deterioration / Monitor</t>
  </si>
  <si>
    <t>Flag account; note trend; review at next monitoring cycle.</t>
  </si>
  <si>
    <t>Amber</t>
  </si>
  <si>
    <t>Elevated Concern / Enhanced Monitoring</t>
  </si>
  <si>
    <t>Enhanced monitoring; RM commentary; tighten review frequency.</t>
  </si>
  <si>
    <t>Red</t>
  </si>
  <si>
    <t>High Concern / Immediate Review</t>
  </si>
  <si>
    <t>Escalate to credit committee; borrower engagement; corrective plan.</t>
  </si>
  <si>
    <t>Severe EWS / Immediate Intervention</t>
  </si>
  <si>
    <t>Immediate intervention; classify/restructure/recovery as warranted.</t>
  </si>
  <si>
    <t>Additional parameters &amp; conventions</t>
  </si>
  <si>
    <t>Minimum Data Coverage % (confidence floor)</t>
  </si>
  <si>
    <t>If Data Coverage % is below this, the Overall Score is labelled INSUFFICIENT DATA / low-confidence rather than a benign band.</t>
  </si>
  <si>
    <t>ALERT LIFECYCLE</t>
  </si>
  <si>
    <t>When the system creates an alert, how it is prioritised, and how duplicates/repeats are handled. Bands, severities and the override follow this file’s Scoring Engine and Risk Bands (Config). Distinguishes signal vs alert.</t>
  </si>
  <si>
    <t>A. Alert generation rules</t>
  </si>
  <si>
    <t>Alert ID</t>
  </si>
  <si>
    <t>Trigger</t>
  </si>
  <si>
    <t>Condition</t>
  </si>
  <si>
    <t>Severity</t>
  </si>
  <si>
    <t>Priority</t>
  </si>
  <si>
    <t>Recipient</t>
  </si>
  <si>
    <t>Notification</t>
  </si>
  <si>
    <t>Reason Code</t>
  </si>
  <si>
    <t>Action SLA</t>
  </si>
  <si>
    <t>Escalation</t>
  </si>
  <si>
    <t>Duplicate Suppression</t>
  </si>
  <si>
    <t>Status</t>
  </si>
  <si>
    <t>ALERT-001</t>
  </si>
  <si>
    <t>All applicable indicators in the '0' (Normal) band</t>
  </si>
  <si>
    <t>—</t>
  </si>
  <si>
    <t>No alert</t>
  </si>
  <si>
    <t>ALERT-002</t>
  </si>
  <si>
    <t>Indicator breach (single, immaterial)</t>
  </si>
  <si>
    <t>One indicator in a low non-zero band, not persistent</t>
  </si>
  <si>
    <t>Low</t>
  </si>
  <si>
    <t>P4</t>
  </si>
  <si>
    <t>RM</t>
  </si>
  <si>
    <t>Dashboard only</t>
  </si>
  <si>
    <t>Indicator reason code</t>
  </si>
  <si>
    <t>TBD</t>
  </si>
  <si>
    <t>On repeat → P3</t>
  </si>
  <si>
    <t>Collapse into one open signal per indicator</t>
  </si>
  <si>
    <t>Signal</t>
  </si>
  <si>
    <t>ALERT-003</t>
  </si>
  <si>
    <t>Material / repeated indicator breach</t>
  </si>
  <si>
    <t>Indicator reaches its material band or repeats over lookback</t>
  </si>
  <si>
    <t>Medium</t>
  </si>
  <si>
    <t>P3</t>
  </si>
  <si>
    <t>Dashboard + email</t>
  </si>
  <si>
    <t>Persist → Credit</t>
  </si>
  <si>
    <t>Suppress if same indicator already open &amp; unchanged</t>
  </si>
  <si>
    <t>Alert</t>
  </si>
  <si>
    <t>ALERT-004</t>
  </si>
  <si>
    <t>Overall score → Yellow (20-39)</t>
  </si>
  <si>
    <t>Band transition Green→Yellow</t>
  </si>
  <si>
    <t>Band reason codes</t>
  </si>
  <si>
    <t>No action in SLA → escalate</t>
  </si>
  <si>
    <t>One alert per band transition</t>
  </si>
  <si>
    <t>Yellow Alert</t>
  </si>
  <si>
    <t>ALERT-005</t>
  </si>
  <si>
    <t>Overall score → Amber (40-59)</t>
  </si>
  <si>
    <t>Band transition into Amber</t>
  </si>
  <si>
    <t>Medium-High</t>
  </si>
  <si>
    <t>P2</t>
  </si>
  <si>
    <t>RM + Credit</t>
  </si>
  <si>
    <t>→ Credit review</t>
  </si>
  <si>
    <t>One per transition; re-fire on worsening</t>
  </si>
  <si>
    <t>Amber Alert</t>
  </si>
  <si>
    <t>ALERT-006</t>
  </si>
  <si>
    <t>Overall score → Red (60-79)</t>
  </si>
  <si>
    <t>Band transition into Red</t>
  </si>
  <si>
    <t>High</t>
  </si>
  <si>
    <t>Credit Committee</t>
  </si>
  <si>
    <t>Dashboard + email + workflow</t>
  </si>
  <si>
    <t>→ Senior credit</t>
  </si>
  <si>
    <t>Red Alert</t>
  </si>
  <si>
    <t>ALERT-007</t>
  </si>
  <si>
    <t>Overall score → Critical (80-100)</t>
  </si>
  <si>
    <t>Band transition into Critical</t>
  </si>
  <si>
    <t>P1</t>
  </si>
  <si>
    <t>Credit Head + Senior</t>
  </si>
  <si>
    <t>Email + workflow</t>
  </si>
  <si>
    <t>Immediate</t>
  </si>
  <si>
    <t>→ Senior credit / committee</t>
  </si>
  <si>
    <t>Critical Alert</t>
  </si>
  <si>
    <t>ALERT-008</t>
  </si>
  <si>
    <t>Critical override TRUE</t>
  </si>
  <si>
    <t>N/A — Credit Monitoring has no CRITICAL-flagged indicators, so the override never fires</t>
  </si>
  <si>
    <t>Override reason</t>
  </si>
  <si>
    <t>Not applicable (no criticals)</t>
  </si>
  <si>
    <t>B. Alert types (state vocabulary) &amp; duplicate handling</t>
  </si>
  <si>
    <t>Alert Type</t>
  </si>
  <si>
    <t>Meaning</t>
  </si>
  <si>
    <t>Duplicate / repeat rule</t>
  </si>
  <si>
    <t>New Alert</t>
  </si>
  <si>
    <t>First time this condition fires for the borrower.</t>
  </si>
  <si>
    <t>Create once.</t>
  </si>
  <si>
    <t>Existing Alert</t>
  </si>
  <si>
    <t>Same condition already open and unchanged.</t>
  </si>
  <si>
    <t>Do NOT create a new alert; keep the open one; update timestamp/evidence.</t>
  </si>
  <si>
    <t>Repeat Alert</t>
  </si>
  <si>
    <t>Condition cleared then re-triggered later.</t>
  </si>
  <si>
    <t>Create a new alert linked to the prior one (history retained).</t>
  </si>
  <si>
    <t>Escalated Alert</t>
  </si>
  <si>
    <t>Open alert unresolved past SLA or severity increased.</t>
  </si>
  <si>
    <t>Raise priority; route to next level; keep same alert thread.</t>
  </si>
  <si>
    <t>Closed Alert</t>
  </si>
  <si>
    <t>Closure criteria met (condition cleared — see section E).</t>
  </si>
  <si>
    <t>Mark closed with outcome; retain for back-testing.</t>
  </si>
  <si>
    <t>Reopened Alert</t>
  </si>
  <si>
    <t>Closed alert's condition recurs / closure was premature.</t>
  </si>
  <si>
    <t>Reopen same thread; record reason for reopening.</t>
  </si>
  <si>
    <t>Duplicate suppression principle: one OPEN alert per (borrower, indicator/condition). A worsening condition re-fires at higher severity; an unchanged condition does not spam. This module has no override alert. SLA values are TO BE DEFINED per credit policy.</t>
  </si>
  <si>
    <t>Responsible Role</t>
  </si>
  <si>
    <t>Required Action</t>
  </si>
  <si>
    <t>Timeline / SLA</t>
  </si>
  <si>
    <t>Required Documents</t>
  </si>
  <si>
    <t>Decision</t>
  </si>
  <si>
    <t>Closure Criteria</t>
  </si>
  <si>
    <t>Green / Normal</t>
  </si>
  <si>
    <t>Score 0-19, no override</t>
  </si>
  <si>
    <t>Standard monitoring; no special action.</t>
  </si>
  <si>
    <t>BAU cycle</t>
  </si>
  <si>
    <t>None extra</t>
  </si>
  <si>
    <t>Continue monitoring</t>
  </si>
  <si>
    <t>N/A</t>
  </si>
  <si>
    <t>Yellow / Monitor</t>
  </si>
  <si>
    <t>Score 20-39</t>
  </si>
  <si>
    <t>Log trend; RM commentary; review borrower conduct at next cycle.</t>
  </si>
  <si>
    <t>Next cycle (TBD)</t>
  </si>
  <si>
    <t>Account statement review; RM remarks</t>
  </si>
  <si>
    <t>RM notes cause &amp; plan</t>
  </si>
  <si>
    <t>If unresolved → Credit</t>
  </si>
  <si>
    <t>Signals return to '0' bands / remarks accepted</t>
  </si>
  <si>
    <t>Amber / Watchlist</t>
  </si>
  <si>
    <t>Score 40-59</t>
  </si>
  <si>
    <t>Enhanced monitoring; request updated financials; borrower discussion.</t>
  </si>
  <si>
    <t>2-4 weeks (TBD)</t>
  </si>
  <si>
    <t>Updated financials; account review</t>
  </si>
  <si>
    <t>RM + Credit note cause &amp; plan</t>
  </si>
  <si>
    <t>If unresolved → Credit Committee</t>
  </si>
  <si>
    <t>Condition improves to a lower band &amp; remarks accepted</t>
  </si>
  <si>
    <t>Red / High</t>
  </si>
  <si>
    <t>Score 60-79</t>
  </si>
  <si>
    <t>Credit review; obtain updated financials, stock statement, repayment plan; exposure review.</t>
  </si>
  <si>
    <t>1-2 weeks (TBD)</t>
  </si>
  <si>
    <t>Updated financials; stock statement; repayment plan</t>
  </si>
  <si>
    <t>Credit decides monitoring / exit</t>
  </si>
  <si>
    <t>If worsening → Senior credit</t>
  </si>
  <si>
    <t>Condition cleared &amp; Credit sign-off</t>
  </si>
  <si>
    <t>Red / Critical</t>
  </si>
  <si>
    <t>Score 80-100</t>
  </si>
  <si>
    <t>Senior Credit / Committee</t>
  </si>
  <si>
    <t>Senior credit review; exposure review; possible freeze / recovery / restructuring depending on trigger.</t>
  </si>
  <si>
    <t>Full credit note; legal / recovery inputs</t>
  </si>
  <si>
    <t>Committee decision</t>
  </si>
  <si>
    <t>Recovery / legal / restructuring path</t>
  </si>
  <si>
    <t>Formal resolution per policy</t>
  </si>
  <si>
    <t>State</t>
  </si>
  <si>
    <t>Entry condition</t>
  </si>
  <si>
    <t>Owner</t>
  </si>
  <si>
    <t>Allowed next states</t>
  </si>
  <si>
    <t>Backward move?</t>
  </si>
  <si>
    <t>Generated</t>
  </si>
  <si>
    <t>Alert generated in section A</t>
  </si>
  <si>
    <t>System</t>
  </si>
  <si>
    <t>Assigned</t>
  </si>
  <si>
    <t>Routed to RM / Credit</t>
  </si>
  <si>
    <t>Under Review</t>
  </si>
  <si>
    <t>Owner investigating</t>
  </si>
  <si>
    <t>RM / Credit</t>
  </si>
  <si>
    <t>Action Required / Resolved</t>
  </si>
  <si>
    <t>Action Required</t>
  </si>
  <si>
    <t>Borrower action / docs needed</t>
  </si>
  <si>
    <t>Escalated / Resolved</t>
  </si>
  <si>
    <t>Escalated</t>
  </si>
  <si>
    <t>SLA breach or severity up</t>
  </si>
  <si>
    <t>Credit / Senior</t>
  </si>
  <si>
    <t>Resolved / Action Required</t>
  </si>
  <si>
    <t>Yes (to Action Required)</t>
  </si>
  <si>
    <t>Resolved</t>
  </si>
  <si>
    <t>Condition cleared, pending closure check</t>
  </si>
  <si>
    <t>Credit</t>
  </si>
  <si>
    <t>Closed / Reopened</t>
  </si>
  <si>
    <t>Closed</t>
  </si>
  <si>
    <t>Closure criteria met (see section E)</t>
  </si>
  <si>
    <t>Reopened</t>
  </si>
  <si>
    <t>Yes (Reopened)</t>
  </si>
  <si>
    <t>Condition recurs / premature closure</t>
  </si>
  <si>
    <t>Yes</t>
  </si>
  <si>
    <t>Final Recommendation / Action &amp; AI-Suggested Path</t>
  </si>
  <si>
    <t>How the Final Status maps to action, and how the tool ranks the drivers behind the score to suggest a remediation path.</t>
  </si>
  <si>
    <t>A.  Action Matrix by Final Status</t>
  </si>
  <si>
    <t>Final Status</t>
  </si>
  <si>
    <t>What it means</t>
  </si>
  <si>
    <t>Recommended Action</t>
  </si>
  <si>
    <t>Timeline</t>
  </si>
  <si>
    <t>Normal / low concern</t>
  </si>
  <si>
    <t>Standard monitoring; no action beyond routine review.</t>
  </si>
  <si>
    <t>Routine cycle</t>
  </si>
  <si>
    <t>Early deterioration</t>
  </si>
  <si>
    <t>Log trend; RM commentary; watch next cycle.</t>
  </si>
  <si>
    <t>Next cycle</t>
  </si>
  <si>
    <t>Elevated concern</t>
  </si>
  <si>
    <t>Enhanced monitoring; request updated financials; tighten review frequency.</t>
  </si>
  <si>
    <t>2–4 weeks</t>
  </si>
  <si>
    <t>High concern</t>
  </si>
  <si>
    <t>Escalate to credit committee; borrower engagement; corrective action plan.</t>
  </si>
  <si>
    <t>1–2 weeks</t>
  </si>
  <si>
    <t>Severe EWS</t>
  </si>
  <si>
    <t>Immediate intervention; site visit; classify / restructure / initiate recovery as warranted.</t>
  </si>
  <si>
    <t>CRITICAL (Override)</t>
  </si>
  <si>
    <t>A critical event is present regardless of average</t>
  </si>
  <si>
    <t>Treat as Critical immediately; investigate the specific critical indicator(s) first; do not wait for the average to catch up.</t>
  </si>
  <si>
    <t>B.  How the AI suggests the recommended path</t>
  </si>
  <si>
    <t>1.  Take all applicable indicators that have valid data (the same set used for the Overall Score).</t>
  </si>
  <si>
    <t>2.  Rank them by Normalised Score (highest first); any CRITICAL-flagged indicator at its worst band is pulled to the top automatically.</t>
  </si>
  <si>
    <t>3.  Read the top contributors as the "drivers" of the score, and group them by Category (e.g., Account Conduct, Financial Performance, Compliance).</t>
  </si>
  <si>
    <t>4.  For each driver, pull the band-specific remark, remedial plan and owner from the Scoring Engine (Rules) sheet (matched on UID + Normalised).</t>
  </si>
  <si>
    <t>5.  Because every driver traces back to UID → Raw Score → threshold band → borrower input, each recommendation is fully auditable.</t>
  </si>
  <si>
    <t>C.  Top score drivers for the Borrower Example (remarks/actions pulled live from the Rules sheet by UID + Normalised)</t>
  </si>
  <si>
    <t>Rank</t>
  </si>
  <si>
    <t>raw (helper)</t>
  </si>
  <si>
    <t>Credit Monitoring — Indicator Master</t>
  </si>
  <si>
    <t>category</t>
  </si>
  <si>
    <t>B. RM / Credit Action Logic (by risk band)</t>
  </si>
  <si>
    <t>C. Lifecycle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</si>
</sst>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\%"/>
  </numFmts>
  <fonts count="30" x14ac:knownFonts="1">
    <font>
      <sz val="11"/>
      <color theme="1"/>
      <name val="Calibri"/>
      <family val="2"/>
      <charset val="1"/>
    </font>
    <font>
      <b/>
      <sz val="15"/>
      <color rgb="FFFFFFFF"/>
      <name val="Calibri"/>
      <family val="2"/>
    </font>
    <font>
      <i/>
      <sz val="9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808080"/>
      <name val="Calibri"/>
      <family val="2"/>
    </font>
    <font>
      <b/>
      <sz val="10"/>
      <color rgb="FF000000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i/>
      <sz val="9"/>
      <color rgb="FF000000"/>
      <name val="Calibri"/>
      <family val="2"/>
    </font>
    <font>
      <b/>
      <sz val="11"/>
      <color rgb="FFC00000"/>
      <name val="Calibri"/>
      <family val="2"/>
    </font>
    <font>
      <b/>
      <sz val="12"/>
      <color rgb="FFFFFFFF"/>
      <name val="Calibri"/>
      <family val="2"/>
    </font>
    <font>
      <i/>
      <sz val="9"/>
      <color rgb="FF7F7F7F"/>
      <name val="Calibri"/>
      <family val="2"/>
    </font>
    <font>
      <sz val="9"/>
      <color rgb="FF0000FF"/>
      <name val="Calibri"/>
      <family val="2"/>
    </font>
    <font>
      <sz val="9"/>
      <color rgb="FFC00000"/>
      <name val="Calibri"/>
      <family val="2"/>
    </font>
    <font>
      <b/>
      <sz val="11"/>
      <color rgb="FF1F3864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Arial"/>
      <family val="2"/>
      <charset val="1"/>
    </font>
    <font>
      <i/>
      <sz val="9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0000FF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FF"/>
      <name val="Calibri"/>
      <family val="2"/>
    </font>
    <font>
      <sz val="9"/>
      <color rgb="FFD9E1F2"/>
      <name val="Calibri"/>
      <family val="2"/>
    </font>
    <font>
      <b/>
      <sz val="9"/>
      <color rgb="FF1F3864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2E4A7A"/>
      </patternFill>
    </fill>
    <fill>
      <patternFill patternType="solid">
        <fgColor rgb="FF2E5496"/>
        <bgColor rgb="FF305496"/>
      </patternFill>
    </fill>
    <fill>
      <patternFill patternType="solid">
        <fgColor rgb="FF305496"/>
        <bgColor rgb="FF2E5496"/>
      </patternFill>
    </fill>
    <fill>
      <patternFill patternType="solid">
        <fgColor rgb="FFF2F5FB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4472C4"/>
        <bgColor rgb="FF305496"/>
      </patternFill>
    </fill>
    <fill>
      <patternFill patternType="solid">
        <fgColor rgb="FFD9E1F2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FD966"/>
        <bgColor rgb="FFFFEB9C"/>
      </patternFill>
    </fill>
    <fill>
      <patternFill patternType="solid">
        <fgColor rgb="FFF4B183"/>
        <bgColor rgb="FFFFD966"/>
      </patternFill>
    </fill>
    <fill>
      <patternFill patternType="solid">
        <fgColor rgb="FFFF5050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2E4A7A"/>
        <bgColor rgb="FF2E5496"/>
      </patternFill>
    </fill>
    <fill>
      <patternFill patternType="solid">
        <fgColor rgb="FFE7E6E6"/>
        <bgColor rgb="FFD9E1F2"/>
      </patternFill>
    </fill>
    <fill>
      <patternFill patternType="solid">
        <fgColor rgb="FFF2F2F2"/>
        <bgColor rgb="FFF2F5FB"/>
      </patternFill>
    </fill>
  </fills>
  <borders count="6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/>
      <top style="thin">
        <color rgb="FFC9C9C9"/>
      </top>
      <bottom style="thin">
        <color rgb="FFC9C9C9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/>
      <right style="thin">
        <color rgb="FFC9C9C9"/>
      </right>
      <top style="thin">
        <color rgb="FFC9C9C9"/>
      </top>
      <bottom style="thin">
        <color rgb="FFC9C9C9"/>
      </bottom>
      <diagonal/>
    </border>
    <border>
      <left/>
      <right/>
      <top/>
      <bottom style="thin">
        <color rgb="FFC9C9C9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16" borderId="0" xfId="0" applyFont="1" applyFill="1" applyAlignment="1">
      <alignment horizontal="left" vertical="center" indent="1"/>
    </xf>
    <xf numFmtId="0" fontId="4" fillId="0" borderId="0" xfId="0" applyFont="1" applyAlignment="1">
      <alignment vertical="top" wrapText="1"/>
    </xf>
    <xf numFmtId="0" fontId="24" fillId="0" borderId="1" xfId="0" applyFont="1" applyBorder="1" applyAlignment="1">
      <alignment vertical="top" wrapText="1"/>
    </xf>
    <xf numFmtId="0" fontId="21" fillId="4" borderId="0" xfId="0" applyFont="1" applyFill="1"/>
    <xf numFmtId="0" fontId="20" fillId="3" borderId="0" xfId="0" applyFont="1" applyFill="1" applyAlignment="1">
      <alignment horizontal="left" vertical="center" wrapText="1" indent="1"/>
    </xf>
    <xf numFmtId="0" fontId="19" fillId="2" borderId="0" xfId="0" applyFont="1" applyFill="1" applyAlignment="1">
      <alignment horizontal="left" vertical="center" indent="1"/>
    </xf>
    <xf numFmtId="0" fontId="4" fillId="10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17" fillId="9" borderId="0" xfId="0" applyFont="1" applyFill="1" applyAlignment="1">
      <alignment vertical="top" wrapText="1"/>
    </xf>
    <xf numFmtId="0" fontId="16" fillId="9" borderId="0" xfId="0" applyFont="1" applyFill="1"/>
    <xf numFmtId="0" fontId="13" fillId="0" borderId="0" xfId="0" applyFont="1"/>
    <xf numFmtId="0" fontId="10" fillId="0" borderId="0" xfId="0" applyFont="1" applyAlignment="1">
      <alignment vertical="top" wrapText="1"/>
    </xf>
    <xf numFmtId="0" fontId="2" fillId="3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6" borderId="0" xfId="0" applyFont="1" applyFill="1" applyAlignment="1">
      <alignment horizontal="center" vertical="center"/>
    </xf>
    <xf numFmtId="0" fontId="7" fillId="0" borderId="0" xfId="0" applyFont="1" applyAlignment="1">
      <alignment vertical="top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7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21" fillId="4" borderId="0" xfId="0" applyFont="1" applyFill="1"/>
    <xf numFmtId="0" fontId="22" fillId="0" borderId="1" xfId="0" applyFont="1" applyBorder="1"/>
    <xf numFmtId="0" fontId="23" fillId="6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vertical="top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top"/>
    </xf>
    <xf numFmtId="0" fontId="22" fillId="12" borderId="1" xfId="0" applyFont="1" applyFill="1" applyBorder="1" applyAlignment="1">
      <alignment vertical="top"/>
    </xf>
    <xf numFmtId="0" fontId="22" fillId="13" borderId="1" xfId="0" applyFont="1" applyFill="1" applyBorder="1" applyAlignment="1">
      <alignment vertical="top"/>
    </xf>
    <xf numFmtId="0" fontId="22" fillId="14" borderId="1" xfId="0" applyFont="1" applyFill="1" applyBorder="1" applyAlignment="1">
      <alignment vertical="top"/>
    </xf>
    <xf numFmtId="0" fontId="22" fillId="15" borderId="1" xfId="0" applyFont="1" applyFill="1" applyBorder="1" applyAlignment="1">
      <alignment vertical="top"/>
    </xf>
    <xf numFmtId="0" fontId="7" fillId="0" borderId="1" xfId="0" applyFont="1" applyBorder="1"/>
    <xf numFmtId="0" fontId="27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29" fillId="0" borderId="1" xfId="0" applyFont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9" fillId="1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19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5" fillId="14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0" fontId="28" fillId="17" borderId="0" xfId="0" applyFont="1" applyFill="1" applyAlignment="1">
      <alignment horizontal="left" vertical="center" wrapText="1" indent="1"/>
    </xf>
    <xf numFmtId="0" fontId="16" fillId="9" borderId="0" xfId="0" applyFont="1" applyFill="1" applyAlignment="1">
      <alignment horizontal="left" vertical="center" indent="1"/>
    </xf>
    <xf numFmtId="0" fontId="10" fillId="6" borderId="0" xfId="0" applyFont="1" applyFill="1" applyAlignment="1">
      <alignment vertical="top" wrapText="1"/>
    </xf>
    <xf numFmtId="0" fontId="4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19" borderId="2" xfId="0" applyFont="1" applyFill="1" applyBorder="1" applyAlignment="1">
      <alignment vertical="top" wrapText="1"/>
    </xf>
    <xf numFmtId="0" fontId="4" fillId="19" borderId="3" xfId="0" applyFont="1" applyFill="1" applyBorder="1" applyAlignment="1">
      <alignment vertical="top" wrapText="1"/>
    </xf>
    <xf numFmtId="0" fontId="4" fillId="19" borderId="4" xfId="0" applyFont="1" applyFill="1" applyBorder="1" applyAlignment="1">
      <alignment vertical="top" wrapText="1"/>
    </xf>
    <xf numFmtId="0" fontId="16" fillId="9" borderId="5" xfId="0" applyFont="1" applyFill="1" applyBorder="1" applyAlignment="1">
      <alignment horizontal="left" vertical="center" indent="1"/>
    </xf>
    <xf numFmtId="0" fontId="16" fillId="9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2CC"/>
      <rgbColor rgb="FFF2F5FB"/>
      <rgbColor rgb="FF660066"/>
      <rgbColor rgb="FFFF8080"/>
      <rgbColor rgb="FF2E549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E7E6E6"/>
      <rgbColor rgb="FFF4B183"/>
      <rgbColor rgb="FFFCE4D6"/>
      <rgbColor rgb="FFFFD966"/>
      <rgbColor rgb="FF4472C4"/>
      <rgbColor rgb="FF33CCCC"/>
      <rgbColor rgb="FF99CC00"/>
      <rgbColor rgb="FFFFC000"/>
      <rgbColor rgb="FFFF9900"/>
      <rgbColor rgb="FFFF5050"/>
      <rgbColor rgb="FF305496"/>
      <rgbColor rgb="FF7F7F7F"/>
      <rgbColor rgb="FF1F3864"/>
      <rgbColor rgb="FF339966"/>
      <rgbColor rgb="FF003300"/>
      <rgbColor rgb="FF333300"/>
      <rgbColor rgb="FF993300"/>
      <rgbColor rgb="FF993366"/>
      <rgbColor rgb="FF2E4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289486</xdr:colOff>
      <xdr:row>33</xdr:row>
      <xdr:rowOff>56029</xdr:rowOff>
    </xdr:from>
    <xdr:to>
      <xdr:col>10</xdr:col>
      <xdr:colOff>1449682</xdr:colOff>
      <xdr:row>43</xdr:row>
      <xdr:rowOff>104136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A0FCB55-5C78-483B-A2F5-801486F6F37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974854" y="9581029"/>
          <a:ext cx="6482990" cy="3148401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opLeftCell="A8" zoomScaleNormal="100" workbookViewId="0">
      <selection activeCell="A2" sqref="A2"/>
    </sheetView>
  </sheetViews>
  <sheetFormatPr defaultColWidth="8.6328125" defaultRowHeight="14.5" x14ac:dyDescent="0.35"/>
  <cols>
    <col min="1" max="1" width="8" customWidth="1"/>
    <col min="2" max="2" width="14" customWidth="1"/>
    <col min="3" max="3" width="26" customWidth="1"/>
    <col min="4" max="4" width="24" customWidth="1"/>
    <col min="5" max="5" width="15" customWidth="1"/>
    <col min="6" max="6" width="9" customWidth="1"/>
    <col min="7" max="7" width="26" customWidth="1"/>
    <col min="8" max="8" width="20" customWidth="1"/>
    <col min="9" max="9" width="22" customWidth="1"/>
    <col min="10" max="11" width="12" customWidth="1"/>
    <col min="12" max="12" width="30" customWidth="1"/>
    <col min="13" max="13" width="42" customWidth="1"/>
    <col min="14" max="14" width="9" customWidth="1"/>
  </cols>
  <sheetData>
    <row r="1" spans="1:14" ht="30" customHeight="1" x14ac:dyDescent="0.35">
      <c r="A1" s="14" t="s">
        <v>778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24" x14ac:dyDescent="0.35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</row>
    <row r="4" spans="1:14" ht="24" x14ac:dyDescent="0.35">
      <c r="A4" s="16" t="s">
        <v>14</v>
      </c>
      <c r="B4" s="16" t="s">
        <v>15</v>
      </c>
      <c r="C4" s="81" t="s">
        <v>16</v>
      </c>
      <c r="D4" s="81" t="s">
        <v>17</v>
      </c>
      <c r="E4" s="81" t="s">
        <v>18</v>
      </c>
      <c r="F4" s="16" t="s">
        <v>19</v>
      </c>
      <c r="G4" s="81" t="s">
        <v>20</v>
      </c>
      <c r="H4" s="81" t="s">
        <v>21</v>
      </c>
      <c r="I4" s="81" t="s">
        <v>22</v>
      </c>
      <c r="J4" s="16" t="s">
        <v>23</v>
      </c>
      <c r="K4" s="81" t="s">
        <v>24</v>
      </c>
      <c r="L4" s="81" t="s">
        <v>25</v>
      </c>
      <c r="M4" s="81" t="s">
        <v>26</v>
      </c>
      <c r="N4" s="16">
        <v>40</v>
      </c>
    </row>
    <row r="5" spans="1:14" ht="24" x14ac:dyDescent="0.35">
      <c r="A5" s="17" t="s">
        <v>27</v>
      </c>
      <c r="B5" s="17" t="s">
        <v>15</v>
      </c>
      <c r="C5" s="82" t="s">
        <v>28</v>
      </c>
      <c r="D5" s="82" t="s">
        <v>29</v>
      </c>
      <c r="E5" s="82" t="s">
        <v>18</v>
      </c>
      <c r="F5" s="17" t="s">
        <v>19</v>
      </c>
      <c r="G5" s="82" t="s">
        <v>30</v>
      </c>
      <c r="H5" s="82" t="s">
        <v>21</v>
      </c>
      <c r="I5" s="82" t="s">
        <v>22</v>
      </c>
      <c r="J5" s="17" t="s">
        <v>23</v>
      </c>
      <c r="K5" s="82" t="s">
        <v>24</v>
      </c>
      <c r="L5" s="82" t="s">
        <v>31</v>
      </c>
      <c r="M5" s="82" t="s">
        <v>32</v>
      </c>
      <c r="N5" s="17">
        <v>30</v>
      </c>
    </row>
    <row r="6" spans="1:14" ht="24" x14ac:dyDescent="0.35">
      <c r="A6" s="16" t="s">
        <v>33</v>
      </c>
      <c r="B6" s="16" t="s">
        <v>15</v>
      </c>
      <c r="C6" s="81" t="s">
        <v>34</v>
      </c>
      <c r="D6" s="81" t="s">
        <v>35</v>
      </c>
      <c r="E6" s="81" t="s">
        <v>36</v>
      </c>
      <c r="F6" s="16" t="s">
        <v>19</v>
      </c>
      <c r="G6" s="81" t="s">
        <v>37</v>
      </c>
      <c r="H6" s="81" t="s">
        <v>38</v>
      </c>
      <c r="I6" s="81" t="s">
        <v>39</v>
      </c>
      <c r="J6" s="16" t="s">
        <v>23</v>
      </c>
      <c r="K6" s="81" t="s">
        <v>40</v>
      </c>
      <c r="L6" s="81" t="s">
        <v>41</v>
      </c>
      <c r="M6" s="81" t="s">
        <v>42</v>
      </c>
      <c r="N6" s="16">
        <v>35</v>
      </c>
    </row>
    <row r="7" spans="1:14" ht="36" x14ac:dyDescent="0.35">
      <c r="A7" s="17" t="s">
        <v>43</v>
      </c>
      <c r="B7" s="17" t="s">
        <v>15</v>
      </c>
      <c r="C7" s="82" t="s">
        <v>44</v>
      </c>
      <c r="D7" s="82" t="s">
        <v>45</v>
      </c>
      <c r="E7" s="82" t="s">
        <v>36</v>
      </c>
      <c r="F7" s="17" t="s">
        <v>19</v>
      </c>
      <c r="G7" s="82" t="s">
        <v>46</v>
      </c>
      <c r="H7" s="82" t="s">
        <v>47</v>
      </c>
      <c r="I7" s="82" t="s">
        <v>48</v>
      </c>
      <c r="J7" s="17" t="s">
        <v>23</v>
      </c>
      <c r="K7" s="82" t="s">
        <v>49</v>
      </c>
      <c r="L7" s="82" t="s">
        <v>50</v>
      </c>
      <c r="M7" s="82" t="s">
        <v>51</v>
      </c>
      <c r="N7" s="17">
        <v>40</v>
      </c>
    </row>
    <row r="8" spans="1:14" ht="24" x14ac:dyDescent="0.35">
      <c r="A8" s="16" t="s">
        <v>52</v>
      </c>
      <c r="B8" s="16" t="s">
        <v>15</v>
      </c>
      <c r="C8" s="81" t="s">
        <v>53</v>
      </c>
      <c r="D8" s="81" t="s">
        <v>54</v>
      </c>
      <c r="E8" s="81" t="s">
        <v>36</v>
      </c>
      <c r="F8" s="16" t="s">
        <v>19</v>
      </c>
      <c r="G8" s="81" t="s">
        <v>55</v>
      </c>
      <c r="H8" s="81" t="s">
        <v>47</v>
      </c>
      <c r="I8" s="81" t="s">
        <v>48</v>
      </c>
      <c r="J8" s="16" t="s">
        <v>23</v>
      </c>
      <c r="K8" s="81" t="s">
        <v>49</v>
      </c>
      <c r="L8" s="81" t="s">
        <v>56</v>
      </c>
      <c r="M8" s="81" t="s">
        <v>57</v>
      </c>
      <c r="N8" s="16">
        <v>35</v>
      </c>
    </row>
    <row r="9" spans="1:14" ht="36" x14ac:dyDescent="0.35">
      <c r="A9" s="17" t="s">
        <v>58</v>
      </c>
      <c r="B9" s="17" t="s">
        <v>15</v>
      </c>
      <c r="C9" s="82" t="s">
        <v>59</v>
      </c>
      <c r="D9" s="82" t="s">
        <v>60</v>
      </c>
      <c r="E9" s="82" t="s">
        <v>61</v>
      </c>
      <c r="F9" s="17" t="s">
        <v>19</v>
      </c>
      <c r="G9" s="82" t="s">
        <v>62</v>
      </c>
      <c r="H9" s="82" t="s">
        <v>63</v>
      </c>
      <c r="I9" s="82" t="s">
        <v>64</v>
      </c>
      <c r="J9" s="17" t="s">
        <v>65</v>
      </c>
      <c r="K9" s="82" t="s">
        <v>66</v>
      </c>
      <c r="L9" s="82" t="s">
        <v>67</v>
      </c>
      <c r="M9" s="82" t="s">
        <v>68</v>
      </c>
      <c r="N9" s="17">
        <v>40</v>
      </c>
    </row>
    <row r="10" spans="1:14" ht="24" x14ac:dyDescent="0.35">
      <c r="A10" s="16" t="s">
        <v>69</v>
      </c>
      <c r="B10" s="16" t="s">
        <v>15</v>
      </c>
      <c r="C10" s="81" t="s">
        <v>70</v>
      </c>
      <c r="D10" s="81" t="s">
        <v>71</v>
      </c>
      <c r="E10" s="81" t="s">
        <v>72</v>
      </c>
      <c r="F10" s="16" t="s">
        <v>19</v>
      </c>
      <c r="G10" s="81" t="s">
        <v>73</v>
      </c>
      <c r="H10" s="81" t="s">
        <v>74</v>
      </c>
      <c r="I10" s="81" t="s">
        <v>75</v>
      </c>
      <c r="J10" s="16" t="s">
        <v>65</v>
      </c>
      <c r="K10" s="81" t="s">
        <v>76</v>
      </c>
      <c r="L10" s="81" t="s">
        <v>77</v>
      </c>
      <c r="M10" s="81" t="s">
        <v>78</v>
      </c>
      <c r="N10" s="16">
        <v>50</v>
      </c>
    </row>
    <row r="11" spans="1:14" ht="24" x14ac:dyDescent="0.35">
      <c r="A11" s="17" t="s">
        <v>79</v>
      </c>
      <c r="B11" s="17" t="s">
        <v>15</v>
      </c>
      <c r="C11" s="82" t="s">
        <v>80</v>
      </c>
      <c r="D11" s="82" t="s">
        <v>81</v>
      </c>
      <c r="E11" s="82" t="s">
        <v>82</v>
      </c>
      <c r="F11" s="17" t="s">
        <v>19</v>
      </c>
      <c r="G11" s="82" t="s">
        <v>83</v>
      </c>
      <c r="H11" s="82" t="s">
        <v>63</v>
      </c>
      <c r="I11" s="82" t="s">
        <v>84</v>
      </c>
      <c r="J11" s="17" t="s">
        <v>65</v>
      </c>
      <c r="K11" s="82" t="s">
        <v>76</v>
      </c>
      <c r="L11" s="82" t="s">
        <v>85</v>
      </c>
      <c r="M11" s="82" t="s">
        <v>86</v>
      </c>
      <c r="N11" s="17">
        <v>40</v>
      </c>
    </row>
    <row r="12" spans="1:14" ht="24" x14ac:dyDescent="0.35">
      <c r="A12" s="16" t="s">
        <v>87</v>
      </c>
      <c r="B12" s="16" t="s">
        <v>15</v>
      </c>
      <c r="C12" s="81" t="s">
        <v>88</v>
      </c>
      <c r="D12" s="81" t="s">
        <v>89</v>
      </c>
      <c r="E12" s="81" t="s">
        <v>90</v>
      </c>
      <c r="F12" s="16" t="s">
        <v>19</v>
      </c>
      <c r="G12" s="81" t="s">
        <v>91</v>
      </c>
      <c r="H12" s="81" t="s">
        <v>92</v>
      </c>
      <c r="I12" s="81" t="s">
        <v>93</v>
      </c>
      <c r="J12" s="16" t="s">
        <v>23</v>
      </c>
      <c r="K12" s="81" t="s">
        <v>49</v>
      </c>
      <c r="L12" s="81" t="s">
        <v>94</v>
      </c>
      <c r="M12" s="81" t="s">
        <v>95</v>
      </c>
      <c r="N12" s="16">
        <v>40</v>
      </c>
    </row>
    <row r="13" spans="1:14" ht="24" x14ac:dyDescent="0.35">
      <c r="A13" s="17" t="s">
        <v>96</v>
      </c>
      <c r="B13" s="17" t="s">
        <v>15</v>
      </c>
      <c r="C13" s="82" t="s">
        <v>97</v>
      </c>
      <c r="D13" s="82" t="s">
        <v>98</v>
      </c>
      <c r="E13" s="82" t="s">
        <v>90</v>
      </c>
      <c r="F13" s="17" t="s">
        <v>19</v>
      </c>
      <c r="G13" s="82" t="s">
        <v>99</v>
      </c>
      <c r="H13" s="82" t="s">
        <v>92</v>
      </c>
      <c r="I13" s="82" t="s">
        <v>100</v>
      </c>
      <c r="J13" s="17" t="s">
        <v>65</v>
      </c>
      <c r="K13" s="82" t="s">
        <v>76</v>
      </c>
      <c r="L13" s="82" t="s">
        <v>101</v>
      </c>
      <c r="M13" s="82" t="s">
        <v>102</v>
      </c>
      <c r="N13" s="17">
        <v>40</v>
      </c>
    </row>
    <row r="14" spans="1:14" ht="36" x14ac:dyDescent="0.35">
      <c r="A14" s="16" t="s">
        <v>103</v>
      </c>
      <c r="B14" s="16" t="s">
        <v>15</v>
      </c>
      <c r="C14" s="81" t="s">
        <v>104</v>
      </c>
      <c r="D14" s="81" t="s">
        <v>105</v>
      </c>
      <c r="E14" s="81" t="s">
        <v>106</v>
      </c>
      <c r="F14" s="16" t="s">
        <v>19</v>
      </c>
      <c r="G14" s="81" t="s">
        <v>107</v>
      </c>
      <c r="H14" s="81" t="s">
        <v>108</v>
      </c>
      <c r="I14" s="81" t="s">
        <v>84</v>
      </c>
      <c r="J14" s="16" t="s">
        <v>23</v>
      </c>
      <c r="K14" s="81" t="s">
        <v>66</v>
      </c>
      <c r="L14" s="81" t="s">
        <v>109</v>
      </c>
      <c r="M14" s="81" t="s">
        <v>110</v>
      </c>
      <c r="N14" s="16">
        <v>30</v>
      </c>
    </row>
    <row r="15" spans="1:14" ht="36" x14ac:dyDescent="0.35">
      <c r="A15" s="17" t="s">
        <v>111</v>
      </c>
      <c r="B15" s="17" t="s">
        <v>15</v>
      </c>
      <c r="C15" s="82" t="s">
        <v>112</v>
      </c>
      <c r="D15" s="82" t="s">
        <v>113</v>
      </c>
      <c r="E15" s="82" t="s">
        <v>106</v>
      </c>
      <c r="F15" s="17" t="s">
        <v>19</v>
      </c>
      <c r="G15" s="82" t="s">
        <v>114</v>
      </c>
      <c r="H15" s="82" t="s">
        <v>108</v>
      </c>
      <c r="I15" s="82" t="s">
        <v>84</v>
      </c>
      <c r="J15" s="17" t="s">
        <v>23</v>
      </c>
      <c r="K15" s="82" t="s">
        <v>66</v>
      </c>
      <c r="L15" s="82" t="s">
        <v>115</v>
      </c>
      <c r="M15" s="82" t="s">
        <v>110</v>
      </c>
      <c r="N15" s="17">
        <v>30</v>
      </c>
    </row>
    <row r="16" spans="1:14" ht="24" x14ac:dyDescent="0.35">
      <c r="A16" s="16" t="s">
        <v>116</v>
      </c>
      <c r="B16" s="16" t="s">
        <v>15</v>
      </c>
      <c r="C16" s="81" t="s">
        <v>117</v>
      </c>
      <c r="D16" s="81" t="s">
        <v>118</v>
      </c>
      <c r="E16" s="81" t="s">
        <v>119</v>
      </c>
      <c r="F16" s="16" t="s">
        <v>19</v>
      </c>
      <c r="G16" s="81" t="s">
        <v>120</v>
      </c>
      <c r="H16" s="81" t="s">
        <v>121</v>
      </c>
      <c r="I16" s="81" t="s">
        <v>122</v>
      </c>
      <c r="J16" s="16" t="s">
        <v>65</v>
      </c>
      <c r="K16" s="81" t="s">
        <v>76</v>
      </c>
      <c r="L16" s="81" t="s">
        <v>123</v>
      </c>
      <c r="M16" s="81" t="s">
        <v>124</v>
      </c>
      <c r="N16" s="16">
        <v>35</v>
      </c>
    </row>
    <row r="17" spans="1:14" ht="24" x14ac:dyDescent="0.35">
      <c r="A17" s="17" t="s">
        <v>125</v>
      </c>
      <c r="B17" s="17" t="s">
        <v>15</v>
      </c>
      <c r="C17" s="82" t="s">
        <v>126</v>
      </c>
      <c r="D17" s="82" t="s">
        <v>127</v>
      </c>
      <c r="E17" s="82" t="s">
        <v>119</v>
      </c>
      <c r="F17" s="17" t="s">
        <v>19</v>
      </c>
      <c r="G17" s="82" t="s">
        <v>128</v>
      </c>
      <c r="H17" s="82" t="s">
        <v>121</v>
      </c>
      <c r="I17" s="82" t="s">
        <v>122</v>
      </c>
      <c r="J17" s="17" t="s">
        <v>65</v>
      </c>
      <c r="K17" s="82" t="s">
        <v>76</v>
      </c>
      <c r="L17" s="82" t="s">
        <v>129</v>
      </c>
      <c r="M17" s="82" t="s">
        <v>124</v>
      </c>
      <c r="N17" s="17">
        <v>35</v>
      </c>
    </row>
    <row r="18" spans="1:14" ht="24" x14ac:dyDescent="0.35">
      <c r="A18" s="16" t="s">
        <v>130</v>
      </c>
      <c r="B18" s="16" t="s">
        <v>15</v>
      </c>
      <c r="C18" s="81" t="s">
        <v>131</v>
      </c>
      <c r="D18" s="81" t="s">
        <v>132</v>
      </c>
      <c r="E18" s="81" t="s">
        <v>133</v>
      </c>
      <c r="F18" s="16" t="s">
        <v>19</v>
      </c>
      <c r="G18" s="81" t="s">
        <v>134</v>
      </c>
      <c r="H18" s="81" t="s">
        <v>121</v>
      </c>
      <c r="I18" s="81" t="s">
        <v>122</v>
      </c>
      <c r="J18" s="16" t="s">
        <v>65</v>
      </c>
      <c r="K18" s="81" t="s">
        <v>76</v>
      </c>
      <c r="L18" s="81" t="s">
        <v>135</v>
      </c>
      <c r="M18" s="81" t="s">
        <v>124</v>
      </c>
      <c r="N18" s="16">
        <v>35</v>
      </c>
    </row>
    <row r="19" spans="1:14" ht="24" x14ac:dyDescent="0.35">
      <c r="A19" s="17" t="s">
        <v>136</v>
      </c>
      <c r="B19" s="17" t="s">
        <v>15</v>
      </c>
      <c r="C19" s="82" t="s">
        <v>137</v>
      </c>
      <c r="D19" s="82" t="s">
        <v>138</v>
      </c>
      <c r="E19" s="82" t="s">
        <v>139</v>
      </c>
      <c r="F19" s="17" t="s">
        <v>19</v>
      </c>
      <c r="G19" s="82" t="s">
        <v>140</v>
      </c>
      <c r="H19" s="82" t="s">
        <v>63</v>
      </c>
      <c r="I19" s="82" t="s">
        <v>84</v>
      </c>
      <c r="J19" s="17" t="s">
        <v>23</v>
      </c>
      <c r="K19" s="82" t="s">
        <v>40</v>
      </c>
      <c r="L19" s="82" t="s">
        <v>141</v>
      </c>
      <c r="M19" s="82" t="s">
        <v>142</v>
      </c>
      <c r="N19" s="17">
        <v>40</v>
      </c>
    </row>
    <row r="20" spans="1:14" ht="24" x14ac:dyDescent="0.35">
      <c r="A20" s="16" t="s">
        <v>143</v>
      </c>
      <c r="B20" s="16" t="s">
        <v>15</v>
      </c>
      <c r="C20" s="81" t="s">
        <v>144</v>
      </c>
      <c r="D20" s="81" t="s">
        <v>145</v>
      </c>
      <c r="E20" s="81" t="s">
        <v>139</v>
      </c>
      <c r="F20" s="16" t="s">
        <v>19</v>
      </c>
      <c r="G20" s="81" t="s">
        <v>146</v>
      </c>
      <c r="H20" s="81" t="s">
        <v>63</v>
      </c>
      <c r="I20" s="81" t="s">
        <v>84</v>
      </c>
      <c r="J20" s="16" t="s">
        <v>23</v>
      </c>
      <c r="K20" s="81" t="s">
        <v>40</v>
      </c>
      <c r="L20" s="81" t="s">
        <v>147</v>
      </c>
      <c r="M20" s="81" t="s">
        <v>148</v>
      </c>
      <c r="N20" s="16">
        <v>40</v>
      </c>
    </row>
    <row r="21" spans="1:14" ht="36" x14ac:dyDescent="0.35">
      <c r="A21" s="17" t="s">
        <v>149</v>
      </c>
      <c r="B21" s="17" t="s">
        <v>15</v>
      </c>
      <c r="C21" s="82" t="s">
        <v>150</v>
      </c>
      <c r="D21" s="82" t="s">
        <v>151</v>
      </c>
      <c r="E21" s="82" t="s">
        <v>152</v>
      </c>
      <c r="F21" s="17" t="s">
        <v>19</v>
      </c>
      <c r="G21" s="82" t="s">
        <v>153</v>
      </c>
      <c r="H21" s="82" t="s">
        <v>154</v>
      </c>
      <c r="I21" s="82" t="s">
        <v>155</v>
      </c>
      <c r="J21" s="17" t="s">
        <v>23</v>
      </c>
      <c r="K21" s="82" t="s">
        <v>40</v>
      </c>
      <c r="L21" s="82" t="s">
        <v>156</v>
      </c>
      <c r="M21" s="82" t="s">
        <v>157</v>
      </c>
      <c r="N21" s="17">
        <v>30</v>
      </c>
    </row>
    <row r="22" spans="1:14" ht="24" x14ac:dyDescent="0.35">
      <c r="A22" s="16" t="s">
        <v>158</v>
      </c>
      <c r="B22" s="16" t="s">
        <v>15</v>
      </c>
      <c r="C22" s="81" t="s">
        <v>159</v>
      </c>
      <c r="D22" s="81" t="s">
        <v>160</v>
      </c>
      <c r="E22" s="81" t="s">
        <v>152</v>
      </c>
      <c r="F22" s="16" t="s">
        <v>19</v>
      </c>
      <c r="G22" s="81" t="s">
        <v>161</v>
      </c>
      <c r="H22" s="81" t="s">
        <v>63</v>
      </c>
      <c r="I22" s="81" t="s">
        <v>84</v>
      </c>
      <c r="J22" s="16" t="s">
        <v>65</v>
      </c>
      <c r="K22" s="81" t="s">
        <v>76</v>
      </c>
      <c r="L22" s="81" t="s">
        <v>162</v>
      </c>
      <c r="M22" s="81" t="s">
        <v>163</v>
      </c>
      <c r="N22" s="16">
        <v>40</v>
      </c>
    </row>
    <row r="23" spans="1:14" ht="24" x14ac:dyDescent="0.35">
      <c r="A23" s="17" t="s">
        <v>164</v>
      </c>
      <c r="B23" s="17" t="s">
        <v>15</v>
      </c>
      <c r="C23" s="82" t="s">
        <v>165</v>
      </c>
      <c r="D23" s="82" t="s">
        <v>166</v>
      </c>
      <c r="E23" s="82" t="s">
        <v>167</v>
      </c>
      <c r="F23" s="17" t="s">
        <v>19</v>
      </c>
      <c r="G23" s="82" t="s">
        <v>168</v>
      </c>
      <c r="H23" s="82" t="s">
        <v>63</v>
      </c>
      <c r="I23" s="82" t="s">
        <v>84</v>
      </c>
      <c r="J23" s="17" t="s">
        <v>65</v>
      </c>
      <c r="K23" s="82" t="s">
        <v>76</v>
      </c>
      <c r="L23" s="82" t="s">
        <v>169</v>
      </c>
      <c r="M23" s="82" t="s">
        <v>170</v>
      </c>
      <c r="N23" s="17">
        <v>50</v>
      </c>
    </row>
    <row r="24" spans="1:14" ht="24" x14ac:dyDescent="0.35">
      <c r="A24" s="16" t="s">
        <v>171</v>
      </c>
      <c r="B24" s="16" t="s">
        <v>15</v>
      </c>
      <c r="C24" s="81" t="s">
        <v>172</v>
      </c>
      <c r="D24" s="81" t="s">
        <v>173</v>
      </c>
      <c r="E24" s="81" t="s">
        <v>18</v>
      </c>
      <c r="F24" s="16" t="s">
        <v>19</v>
      </c>
      <c r="G24" s="81" t="s">
        <v>174</v>
      </c>
      <c r="H24" s="81" t="s">
        <v>21</v>
      </c>
      <c r="I24" s="81" t="s">
        <v>22</v>
      </c>
      <c r="J24" s="16" t="s">
        <v>23</v>
      </c>
      <c r="K24" s="81" t="s">
        <v>24</v>
      </c>
      <c r="L24" s="81" t="s">
        <v>175</v>
      </c>
      <c r="M24" s="81" t="s">
        <v>176</v>
      </c>
      <c r="N24" s="16">
        <v>25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zoomScaleNormal="100" workbookViewId="0">
      <selection activeCell="D6" sqref="D6"/>
    </sheetView>
  </sheetViews>
  <sheetFormatPr defaultColWidth="8.6328125" defaultRowHeight="14.5" x14ac:dyDescent="0.35"/>
  <cols>
    <col min="1" max="1" width="8" customWidth="1"/>
    <col min="2" max="2" width="26" customWidth="1"/>
    <col min="3" max="3" width="14" customWidth="1"/>
    <col min="4" max="4" width="30" customWidth="1"/>
    <col min="5" max="5" width="34" customWidth="1"/>
    <col min="6" max="6" width="42" customWidth="1"/>
    <col min="7" max="7" width="9" customWidth="1"/>
    <col min="8" max="9" width="34" customWidth="1"/>
  </cols>
  <sheetData>
    <row r="1" spans="1:9" ht="30" customHeight="1" x14ac:dyDescent="0.35">
      <c r="A1" s="14" t="s">
        <v>177</v>
      </c>
      <c r="B1" s="14"/>
      <c r="C1" s="14"/>
      <c r="D1" s="14"/>
      <c r="E1" s="14"/>
      <c r="F1" s="14"/>
      <c r="G1" s="14"/>
      <c r="H1" s="14"/>
      <c r="I1" s="14"/>
    </row>
    <row r="2" spans="1:9" ht="25.5" customHeight="1" x14ac:dyDescent="0.35">
      <c r="A2" s="13" t="s">
        <v>178</v>
      </c>
      <c r="B2" s="13"/>
      <c r="C2" s="13"/>
      <c r="D2" s="13"/>
      <c r="E2" s="13"/>
      <c r="F2" s="13"/>
      <c r="G2" s="13"/>
      <c r="H2" s="13"/>
      <c r="I2" s="13"/>
    </row>
    <row r="4" spans="1:9" ht="37.5" customHeight="1" x14ac:dyDescent="0.35">
      <c r="A4" s="15" t="s">
        <v>0</v>
      </c>
      <c r="B4" s="15" t="s">
        <v>2</v>
      </c>
      <c r="C4" s="15" t="s">
        <v>1</v>
      </c>
      <c r="D4" s="15" t="s">
        <v>179</v>
      </c>
      <c r="E4" s="15" t="s">
        <v>180</v>
      </c>
      <c r="F4" s="15" t="s">
        <v>181</v>
      </c>
      <c r="G4" s="15" t="s">
        <v>13</v>
      </c>
      <c r="H4" s="15" t="s">
        <v>182</v>
      </c>
      <c r="I4" s="15" t="s">
        <v>183</v>
      </c>
    </row>
    <row r="5" spans="1:9" ht="32.25" customHeight="1" x14ac:dyDescent="0.35">
      <c r="A5" s="16" t="s">
        <v>14</v>
      </c>
      <c r="B5" s="81" t="s">
        <v>16</v>
      </c>
      <c r="C5" s="16" t="s">
        <v>15</v>
      </c>
      <c r="D5" s="81" t="s">
        <v>20</v>
      </c>
      <c r="E5" s="81" t="s">
        <v>25</v>
      </c>
      <c r="F5" s="81" t="s">
        <v>26</v>
      </c>
      <c r="G5" s="19">
        <f>INDEX('Indicator Master'!$N$4:$N$24,MATCH($A5,'Indicator Master'!$A$4:$A$24,0))</f>
        <v>40</v>
      </c>
      <c r="H5" s="81" t="s">
        <v>184</v>
      </c>
      <c r="I5" s="81" t="s">
        <v>185</v>
      </c>
    </row>
    <row r="6" spans="1:9" ht="32.25" customHeight="1" x14ac:dyDescent="0.35">
      <c r="A6" s="17" t="s">
        <v>27</v>
      </c>
      <c r="B6" s="82" t="s">
        <v>28</v>
      </c>
      <c r="C6" s="17" t="s">
        <v>15</v>
      </c>
      <c r="D6" s="82" t="s">
        <v>30</v>
      </c>
      <c r="E6" s="82" t="s">
        <v>31</v>
      </c>
      <c r="F6" s="82" t="s">
        <v>32</v>
      </c>
      <c r="G6" s="20">
        <f>INDEX('Indicator Master'!$N$4:$N$24,MATCH($A6,'Indicator Master'!$A$4:$A$24,0))</f>
        <v>30</v>
      </c>
      <c r="H6" s="82" t="s">
        <v>184</v>
      </c>
      <c r="I6" s="82" t="s">
        <v>185</v>
      </c>
    </row>
    <row r="7" spans="1:9" ht="32.25" customHeight="1" x14ac:dyDescent="0.35">
      <c r="A7" s="16" t="s">
        <v>33</v>
      </c>
      <c r="B7" s="81" t="s">
        <v>34</v>
      </c>
      <c r="C7" s="16" t="s">
        <v>15</v>
      </c>
      <c r="D7" s="81" t="s">
        <v>37</v>
      </c>
      <c r="E7" s="81" t="s">
        <v>41</v>
      </c>
      <c r="F7" s="81" t="s">
        <v>42</v>
      </c>
      <c r="G7" s="19">
        <f>INDEX('Indicator Master'!$N$4:$N$24,MATCH($A7,'Indicator Master'!$A$4:$A$24,0))</f>
        <v>35</v>
      </c>
      <c r="H7" s="81" t="s">
        <v>184</v>
      </c>
      <c r="I7" s="81" t="s">
        <v>185</v>
      </c>
    </row>
    <row r="8" spans="1:9" ht="32.25" customHeight="1" x14ac:dyDescent="0.35">
      <c r="A8" s="17" t="s">
        <v>43</v>
      </c>
      <c r="B8" s="82" t="s">
        <v>44</v>
      </c>
      <c r="C8" s="17" t="s">
        <v>15</v>
      </c>
      <c r="D8" s="82" t="s">
        <v>46</v>
      </c>
      <c r="E8" s="82" t="s">
        <v>50</v>
      </c>
      <c r="F8" s="82" t="s">
        <v>51</v>
      </c>
      <c r="G8" s="20">
        <f>INDEX('Indicator Master'!$N$4:$N$24,MATCH($A8,'Indicator Master'!$A$4:$A$24,0))</f>
        <v>40</v>
      </c>
      <c r="H8" s="82" t="s">
        <v>184</v>
      </c>
      <c r="I8" s="82" t="s">
        <v>185</v>
      </c>
    </row>
    <row r="9" spans="1:9" ht="32.25" customHeight="1" x14ac:dyDescent="0.35">
      <c r="A9" s="16" t="s">
        <v>52</v>
      </c>
      <c r="B9" s="81" t="s">
        <v>53</v>
      </c>
      <c r="C9" s="16" t="s">
        <v>15</v>
      </c>
      <c r="D9" s="81" t="s">
        <v>55</v>
      </c>
      <c r="E9" s="81" t="s">
        <v>56</v>
      </c>
      <c r="F9" s="81" t="s">
        <v>57</v>
      </c>
      <c r="G9" s="19">
        <f>INDEX('Indicator Master'!$N$4:$N$24,MATCH($A9,'Indicator Master'!$A$4:$A$24,0))</f>
        <v>35</v>
      </c>
      <c r="H9" s="81" t="s">
        <v>184</v>
      </c>
      <c r="I9" s="81" t="s">
        <v>185</v>
      </c>
    </row>
    <row r="10" spans="1:9" ht="32.25" customHeight="1" x14ac:dyDescent="0.35">
      <c r="A10" s="17" t="s">
        <v>58</v>
      </c>
      <c r="B10" s="82" t="s">
        <v>59</v>
      </c>
      <c r="C10" s="17" t="s">
        <v>15</v>
      </c>
      <c r="D10" s="82" t="s">
        <v>62</v>
      </c>
      <c r="E10" s="82" t="s">
        <v>67</v>
      </c>
      <c r="F10" s="82" t="s">
        <v>68</v>
      </c>
      <c r="G10" s="20">
        <f>INDEX('Indicator Master'!$N$4:$N$24,MATCH($A10,'Indicator Master'!$A$4:$A$24,0))</f>
        <v>40</v>
      </c>
      <c r="H10" s="82" t="s">
        <v>184</v>
      </c>
      <c r="I10" s="82" t="s">
        <v>185</v>
      </c>
    </row>
    <row r="11" spans="1:9" ht="32.25" customHeight="1" x14ac:dyDescent="0.35">
      <c r="A11" s="16" t="s">
        <v>69</v>
      </c>
      <c r="B11" s="81" t="s">
        <v>70</v>
      </c>
      <c r="C11" s="16" t="s">
        <v>15</v>
      </c>
      <c r="D11" s="81" t="s">
        <v>73</v>
      </c>
      <c r="E11" s="81" t="s">
        <v>77</v>
      </c>
      <c r="F11" s="81" t="s">
        <v>78</v>
      </c>
      <c r="G11" s="19">
        <f>INDEX('Indicator Master'!$N$4:$N$24,MATCH($A11,'Indicator Master'!$A$4:$A$24,0))</f>
        <v>50</v>
      </c>
      <c r="H11" s="81" t="s">
        <v>184</v>
      </c>
      <c r="I11" s="81" t="s">
        <v>185</v>
      </c>
    </row>
    <row r="12" spans="1:9" ht="32.25" customHeight="1" x14ac:dyDescent="0.35">
      <c r="A12" s="17" t="s">
        <v>79</v>
      </c>
      <c r="B12" s="82" t="s">
        <v>80</v>
      </c>
      <c r="C12" s="17" t="s">
        <v>15</v>
      </c>
      <c r="D12" s="82" t="s">
        <v>83</v>
      </c>
      <c r="E12" s="82" t="s">
        <v>85</v>
      </c>
      <c r="F12" s="82" t="s">
        <v>86</v>
      </c>
      <c r="G12" s="20">
        <f>INDEX('Indicator Master'!$N$4:$N$24,MATCH($A12,'Indicator Master'!$A$4:$A$24,0))</f>
        <v>40</v>
      </c>
      <c r="H12" s="82" t="s">
        <v>184</v>
      </c>
      <c r="I12" s="82" t="s">
        <v>185</v>
      </c>
    </row>
    <row r="13" spans="1:9" ht="32.25" customHeight="1" x14ac:dyDescent="0.35">
      <c r="A13" s="16" t="s">
        <v>87</v>
      </c>
      <c r="B13" s="81" t="s">
        <v>88</v>
      </c>
      <c r="C13" s="16" t="s">
        <v>15</v>
      </c>
      <c r="D13" s="81" t="s">
        <v>91</v>
      </c>
      <c r="E13" s="81" t="s">
        <v>94</v>
      </c>
      <c r="F13" s="81" t="s">
        <v>95</v>
      </c>
      <c r="G13" s="19">
        <f>INDEX('Indicator Master'!$N$4:$N$24,MATCH($A13,'Indicator Master'!$A$4:$A$24,0))</f>
        <v>40</v>
      </c>
      <c r="H13" s="81" t="s">
        <v>184</v>
      </c>
      <c r="I13" s="81" t="s">
        <v>185</v>
      </c>
    </row>
    <row r="14" spans="1:9" ht="32.25" customHeight="1" x14ac:dyDescent="0.35">
      <c r="A14" s="17" t="s">
        <v>96</v>
      </c>
      <c r="B14" s="82" t="s">
        <v>97</v>
      </c>
      <c r="C14" s="17" t="s">
        <v>15</v>
      </c>
      <c r="D14" s="82" t="s">
        <v>99</v>
      </c>
      <c r="E14" s="82" t="s">
        <v>101</v>
      </c>
      <c r="F14" s="82" t="s">
        <v>102</v>
      </c>
      <c r="G14" s="20">
        <f>INDEX('Indicator Master'!$N$4:$N$24,MATCH($A14,'Indicator Master'!$A$4:$A$24,0))</f>
        <v>40</v>
      </c>
      <c r="H14" s="82" t="s">
        <v>184</v>
      </c>
      <c r="I14" s="82" t="s">
        <v>185</v>
      </c>
    </row>
    <row r="15" spans="1:9" ht="32.25" customHeight="1" x14ac:dyDescent="0.35">
      <c r="A15" s="16" t="s">
        <v>103</v>
      </c>
      <c r="B15" s="81" t="s">
        <v>104</v>
      </c>
      <c r="C15" s="16" t="s">
        <v>15</v>
      </c>
      <c r="D15" s="81" t="s">
        <v>107</v>
      </c>
      <c r="E15" s="81" t="s">
        <v>109</v>
      </c>
      <c r="F15" s="81" t="s">
        <v>110</v>
      </c>
      <c r="G15" s="19">
        <f>INDEX('Indicator Master'!$N$4:$N$24,MATCH($A15,'Indicator Master'!$A$4:$A$24,0))</f>
        <v>30</v>
      </c>
      <c r="H15" s="81" t="s">
        <v>184</v>
      </c>
      <c r="I15" s="81" t="s">
        <v>185</v>
      </c>
    </row>
    <row r="16" spans="1:9" ht="32.25" customHeight="1" x14ac:dyDescent="0.35">
      <c r="A16" s="17" t="s">
        <v>111</v>
      </c>
      <c r="B16" s="82" t="s">
        <v>112</v>
      </c>
      <c r="C16" s="17" t="s">
        <v>15</v>
      </c>
      <c r="D16" s="82" t="s">
        <v>114</v>
      </c>
      <c r="E16" s="82" t="s">
        <v>115</v>
      </c>
      <c r="F16" s="82" t="s">
        <v>110</v>
      </c>
      <c r="G16" s="20">
        <f>INDEX('Indicator Master'!$N$4:$N$24,MATCH($A16,'Indicator Master'!$A$4:$A$24,0))</f>
        <v>30</v>
      </c>
      <c r="H16" s="82" t="s">
        <v>184</v>
      </c>
      <c r="I16" s="82" t="s">
        <v>185</v>
      </c>
    </row>
    <row r="17" spans="1:9" ht="32.25" customHeight="1" x14ac:dyDescent="0.35">
      <c r="A17" s="16" t="s">
        <v>116</v>
      </c>
      <c r="B17" s="81" t="s">
        <v>117</v>
      </c>
      <c r="C17" s="16" t="s">
        <v>15</v>
      </c>
      <c r="D17" s="81" t="s">
        <v>120</v>
      </c>
      <c r="E17" s="81" t="s">
        <v>123</v>
      </c>
      <c r="F17" s="81" t="s">
        <v>124</v>
      </c>
      <c r="G17" s="19">
        <f>INDEX('Indicator Master'!$N$4:$N$24,MATCH($A17,'Indicator Master'!$A$4:$A$24,0))</f>
        <v>35</v>
      </c>
      <c r="H17" s="81" t="s">
        <v>184</v>
      </c>
      <c r="I17" s="81" t="s">
        <v>185</v>
      </c>
    </row>
    <row r="18" spans="1:9" ht="32.25" customHeight="1" x14ac:dyDescent="0.35">
      <c r="A18" s="17" t="s">
        <v>125</v>
      </c>
      <c r="B18" s="82" t="s">
        <v>126</v>
      </c>
      <c r="C18" s="17" t="s">
        <v>15</v>
      </c>
      <c r="D18" s="82" t="s">
        <v>128</v>
      </c>
      <c r="E18" s="82" t="s">
        <v>129</v>
      </c>
      <c r="F18" s="82" t="s">
        <v>124</v>
      </c>
      <c r="G18" s="20">
        <f>INDEX('Indicator Master'!$N$4:$N$24,MATCH($A18,'Indicator Master'!$A$4:$A$24,0))</f>
        <v>35</v>
      </c>
      <c r="H18" s="82" t="s">
        <v>184</v>
      </c>
      <c r="I18" s="82" t="s">
        <v>185</v>
      </c>
    </row>
    <row r="19" spans="1:9" ht="32.25" customHeight="1" x14ac:dyDescent="0.35">
      <c r="A19" s="16" t="s">
        <v>130</v>
      </c>
      <c r="B19" s="81" t="s">
        <v>131</v>
      </c>
      <c r="C19" s="16" t="s">
        <v>15</v>
      </c>
      <c r="D19" s="81" t="s">
        <v>134</v>
      </c>
      <c r="E19" s="81" t="s">
        <v>135</v>
      </c>
      <c r="F19" s="81" t="s">
        <v>124</v>
      </c>
      <c r="G19" s="19">
        <f>INDEX('Indicator Master'!$N$4:$N$24,MATCH($A19,'Indicator Master'!$A$4:$A$24,0))</f>
        <v>35</v>
      </c>
      <c r="H19" s="81" t="s">
        <v>184</v>
      </c>
      <c r="I19" s="81" t="s">
        <v>185</v>
      </c>
    </row>
    <row r="20" spans="1:9" ht="32.25" customHeight="1" x14ac:dyDescent="0.35">
      <c r="A20" s="17" t="s">
        <v>136</v>
      </c>
      <c r="B20" s="82" t="s">
        <v>137</v>
      </c>
      <c r="C20" s="17" t="s">
        <v>15</v>
      </c>
      <c r="D20" s="82" t="s">
        <v>140</v>
      </c>
      <c r="E20" s="82" t="s">
        <v>141</v>
      </c>
      <c r="F20" s="82" t="s">
        <v>142</v>
      </c>
      <c r="G20" s="20">
        <f>INDEX('Indicator Master'!$N$4:$N$24,MATCH($A20,'Indicator Master'!$A$4:$A$24,0))</f>
        <v>40</v>
      </c>
      <c r="H20" s="82" t="s">
        <v>184</v>
      </c>
      <c r="I20" s="82" t="s">
        <v>185</v>
      </c>
    </row>
    <row r="21" spans="1:9" ht="32.25" customHeight="1" x14ac:dyDescent="0.35">
      <c r="A21" s="16" t="s">
        <v>143</v>
      </c>
      <c r="B21" s="81" t="s">
        <v>144</v>
      </c>
      <c r="C21" s="16" t="s">
        <v>15</v>
      </c>
      <c r="D21" s="81" t="s">
        <v>146</v>
      </c>
      <c r="E21" s="81" t="s">
        <v>147</v>
      </c>
      <c r="F21" s="81" t="s">
        <v>148</v>
      </c>
      <c r="G21" s="19">
        <f>INDEX('Indicator Master'!$N$4:$N$24,MATCH($A21,'Indicator Master'!$A$4:$A$24,0))</f>
        <v>40</v>
      </c>
      <c r="H21" s="81" t="s">
        <v>184</v>
      </c>
      <c r="I21" s="81" t="s">
        <v>185</v>
      </c>
    </row>
    <row r="22" spans="1:9" ht="32.25" customHeight="1" x14ac:dyDescent="0.35">
      <c r="A22" s="17" t="s">
        <v>149</v>
      </c>
      <c r="B22" s="82" t="s">
        <v>150</v>
      </c>
      <c r="C22" s="17" t="s">
        <v>15</v>
      </c>
      <c r="D22" s="82" t="s">
        <v>153</v>
      </c>
      <c r="E22" s="82" t="s">
        <v>156</v>
      </c>
      <c r="F22" s="82" t="s">
        <v>157</v>
      </c>
      <c r="G22" s="20">
        <f>INDEX('Indicator Master'!$N$4:$N$24,MATCH($A22,'Indicator Master'!$A$4:$A$24,0))</f>
        <v>30</v>
      </c>
      <c r="H22" s="82" t="s">
        <v>184</v>
      </c>
      <c r="I22" s="82" t="s">
        <v>185</v>
      </c>
    </row>
    <row r="23" spans="1:9" ht="32.25" customHeight="1" x14ac:dyDescent="0.35">
      <c r="A23" s="16" t="s">
        <v>158</v>
      </c>
      <c r="B23" s="81" t="s">
        <v>159</v>
      </c>
      <c r="C23" s="16" t="s">
        <v>15</v>
      </c>
      <c r="D23" s="81" t="s">
        <v>161</v>
      </c>
      <c r="E23" s="81" t="s">
        <v>162</v>
      </c>
      <c r="F23" s="81" t="s">
        <v>163</v>
      </c>
      <c r="G23" s="19">
        <f>INDEX('Indicator Master'!$N$4:$N$24,MATCH($A23,'Indicator Master'!$A$4:$A$24,0))</f>
        <v>40</v>
      </c>
      <c r="H23" s="81" t="s">
        <v>184</v>
      </c>
      <c r="I23" s="81" t="s">
        <v>185</v>
      </c>
    </row>
    <row r="24" spans="1:9" ht="32.25" customHeight="1" x14ac:dyDescent="0.35">
      <c r="A24" s="17" t="s">
        <v>164</v>
      </c>
      <c r="B24" s="82" t="s">
        <v>165</v>
      </c>
      <c r="C24" s="17" t="s">
        <v>15</v>
      </c>
      <c r="D24" s="82" t="s">
        <v>168</v>
      </c>
      <c r="E24" s="82" t="s">
        <v>169</v>
      </c>
      <c r="F24" s="82" t="s">
        <v>170</v>
      </c>
      <c r="G24" s="20">
        <f>INDEX('Indicator Master'!$N$4:$N$24,MATCH($A24,'Indicator Master'!$A$4:$A$24,0))</f>
        <v>50</v>
      </c>
      <c r="H24" s="82" t="s">
        <v>184</v>
      </c>
      <c r="I24" s="82" t="s">
        <v>185</v>
      </c>
    </row>
    <row r="25" spans="1:9" ht="32.25" customHeight="1" x14ac:dyDescent="0.35">
      <c r="A25" s="16" t="s">
        <v>171</v>
      </c>
      <c r="B25" s="81" t="s">
        <v>172</v>
      </c>
      <c r="C25" s="16" t="s">
        <v>15</v>
      </c>
      <c r="D25" s="81" t="s">
        <v>174</v>
      </c>
      <c r="E25" s="81" t="s">
        <v>175</v>
      </c>
      <c r="F25" s="81" t="s">
        <v>176</v>
      </c>
      <c r="G25" s="19">
        <f>INDEX('Indicator Master'!$N$4:$N$24,MATCH($A25,'Indicator Master'!$A$4:$A$24,0))</f>
        <v>25</v>
      </c>
      <c r="H25" s="81" t="s">
        <v>184</v>
      </c>
      <c r="I25" s="81" t="s">
        <v>185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9"/>
  <sheetViews>
    <sheetView topLeftCell="D1" zoomScaleNormal="100" workbookViewId="0">
      <selection activeCell="B27" sqref="B27"/>
    </sheetView>
  </sheetViews>
  <sheetFormatPr defaultColWidth="8.6328125" defaultRowHeight="14.5" x14ac:dyDescent="0.35"/>
  <cols>
    <col min="1" max="1" width="8" customWidth="1"/>
    <col min="2" max="2" width="24" customWidth="1"/>
    <col min="3" max="3" width="14" customWidth="1"/>
    <col min="4" max="4" width="22" customWidth="1"/>
    <col min="5" max="5" width="7" customWidth="1"/>
    <col min="6" max="6" width="30" customWidth="1"/>
    <col min="7" max="7" width="20" customWidth="1"/>
    <col min="8" max="9" width="11" customWidth="1"/>
    <col min="10" max="10" width="20" customWidth="1"/>
    <col min="11" max="11" width="8" customWidth="1"/>
    <col min="12" max="12" width="12" customWidth="1"/>
    <col min="13" max="13" width="9" customWidth="1"/>
    <col min="14" max="14" width="13" customWidth="1"/>
    <col min="15" max="15" width="40" customWidth="1"/>
    <col min="16" max="16" width="54" customWidth="1"/>
    <col min="17" max="17" width="20" customWidth="1"/>
    <col min="18" max="18" width="14" hidden="1" customWidth="1"/>
  </cols>
  <sheetData>
    <row r="1" spans="1:18" ht="30" customHeight="1" x14ac:dyDescent="0.35">
      <c r="A1" s="14" t="s">
        <v>186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25.5" customHeight="1" x14ac:dyDescent="0.35">
      <c r="A2" s="13" t="s">
        <v>187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4" spans="1:18" ht="24" x14ac:dyDescent="0.35">
      <c r="A4" s="15" t="s">
        <v>0</v>
      </c>
      <c r="B4" s="15" t="s">
        <v>2</v>
      </c>
      <c r="C4" s="15" t="s">
        <v>1</v>
      </c>
      <c r="D4" s="15" t="s">
        <v>188</v>
      </c>
      <c r="E4" s="15" t="s">
        <v>189</v>
      </c>
      <c r="F4" s="15" t="s">
        <v>572</v>
      </c>
      <c r="G4" s="15" t="s">
        <v>190</v>
      </c>
      <c r="H4" s="15" t="s">
        <v>191</v>
      </c>
      <c r="I4" s="15" t="s">
        <v>192</v>
      </c>
      <c r="J4" s="15" t="s">
        <v>193</v>
      </c>
      <c r="K4" s="15" t="s">
        <v>194</v>
      </c>
      <c r="L4" s="15" t="s">
        <v>195</v>
      </c>
      <c r="M4" s="15" t="s">
        <v>196</v>
      </c>
      <c r="N4" s="15" t="s">
        <v>197</v>
      </c>
      <c r="O4" s="15" t="s">
        <v>198</v>
      </c>
      <c r="P4" s="15" t="s">
        <v>199</v>
      </c>
      <c r="Q4" s="15" t="s">
        <v>200</v>
      </c>
      <c r="R4" s="15" t="s">
        <v>201</v>
      </c>
    </row>
    <row r="5" spans="1:18" ht="24" x14ac:dyDescent="0.35">
      <c r="A5" s="21" t="s">
        <v>14</v>
      </c>
      <c r="B5" s="82" t="s">
        <v>16</v>
      </c>
      <c r="C5" s="21" t="s">
        <v>15</v>
      </c>
      <c r="D5" s="82" t="s">
        <v>20</v>
      </c>
      <c r="E5" s="21">
        <v>1</v>
      </c>
      <c r="F5" s="82" t="s">
        <v>202</v>
      </c>
      <c r="G5" s="82" t="s">
        <v>203</v>
      </c>
      <c r="H5" s="21">
        <v>0</v>
      </c>
      <c r="I5" s="21">
        <v>0</v>
      </c>
      <c r="J5" s="21" t="s">
        <v>204</v>
      </c>
      <c r="K5" s="21">
        <v>0</v>
      </c>
      <c r="L5" s="22">
        <f>$K5/INDEX('Indicator Master'!$N$4:$N$24,MATCH($A5,'Indicator Master'!$A$4:$A$24,0))*'Risk Bands (Config)'!$B$5</f>
        <v>0</v>
      </c>
      <c r="M5" s="21">
        <f>IF($K5=INDEX('Indicator Master'!$N$4:$N$24,MATCH($A5,'Indicator Master'!$A$4:$A$24,0)),1,0)</f>
        <v>0</v>
      </c>
      <c r="N5" s="83"/>
      <c r="O5" s="82" t="s">
        <v>205</v>
      </c>
      <c r="P5" s="82" t="s">
        <v>206</v>
      </c>
      <c r="Q5" s="82" t="s">
        <v>207</v>
      </c>
      <c r="R5" s="84" t="str">
        <f t="shared" ref="R5:R36" si="0">$A5&amp;"|"&amp;$K5</f>
        <v>CM-001|0</v>
      </c>
    </row>
    <row r="6" spans="1:18" ht="24" x14ac:dyDescent="0.35">
      <c r="A6" s="21" t="s">
        <v>14</v>
      </c>
      <c r="B6" s="82" t="s">
        <v>16</v>
      </c>
      <c r="C6" s="21" t="s">
        <v>15</v>
      </c>
      <c r="D6" s="82" t="s">
        <v>20</v>
      </c>
      <c r="E6" s="21">
        <v>2</v>
      </c>
      <c r="F6" s="82" t="s">
        <v>208</v>
      </c>
      <c r="G6" s="82" t="s">
        <v>209</v>
      </c>
      <c r="H6" s="21">
        <v>1</v>
      </c>
      <c r="I6" s="21">
        <v>30</v>
      </c>
      <c r="J6" s="21" t="s">
        <v>210</v>
      </c>
      <c r="K6" s="21">
        <v>10</v>
      </c>
      <c r="L6" s="22">
        <f>$K6/INDEX('Indicator Master'!$N$4:$N$24,MATCH($A6,'Indicator Master'!$A$4:$A$24,0))*'Risk Bands (Config)'!$B$5</f>
        <v>25</v>
      </c>
      <c r="M6" s="21">
        <f>IF($K6=INDEX('Indicator Master'!$N$4:$N$24,MATCH($A6,'Indicator Master'!$A$4:$A$24,0)),1,0)</f>
        <v>0</v>
      </c>
      <c r="N6" s="83"/>
      <c r="O6" s="82" t="s">
        <v>211</v>
      </c>
      <c r="P6" s="82" t="s">
        <v>212</v>
      </c>
      <c r="Q6" s="82" t="s">
        <v>213</v>
      </c>
      <c r="R6" s="84" t="str">
        <f t="shared" si="0"/>
        <v>CM-001|10</v>
      </c>
    </row>
    <row r="7" spans="1:18" ht="24" x14ac:dyDescent="0.35">
      <c r="A7" s="21" t="s">
        <v>14</v>
      </c>
      <c r="B7" s="82" t="s">
        <v>16</v>
      </c>
      <c r="C7" s="21" t="s">
        <v>15</v>
      </c>
      <c r="D7" s="82" t="s">
        <v>20</v>
      </c>
      <c r="E7" s="21">
        <v>3</v>
      </c>
      <c r="F7" s="82" t="s">
        <v>214</v>
      </c>
      <c r="G7" s="82" t="s">
        <v>209</v>
      </c>
      <c r="H7" s="21">
        <v>31</v>
      </c>
      <c r="I7" s="21">
        <v>60</v>
      </c>
      <c r="J7" s="21" t="s">
        <v>210</v>
      </c>
      <c r="K7" s="21">
        <v>20</v>
      </c>
      <c r="L7" s="22">
        <f>$K7/INDEX('Indicator Master'!$N$4:$N$24,MATCH($A7,'Indicator Master'!$A$4:$A$24,0))*'Risk Bands (Config)'!$B$5</f>
        <v>50</v>
      </c>
      <c r="M7" s="21">
        <f>IF($K7=INDEX('Indicator Master'!$N$4:$N$24,MATCH($A7,'Indicator Master'!$A$4:$A$24,0)),1,0)</f>
        <v>0</v>
      </c>
      <c r="N7" s="83"/>
      <c r="O7" s="82" t="s">
        <v>215</v>
      </c>
      <c r="P7" s="82" t="s">
        <v>216</v>
      </c>
      <c r="Q7" s="82" t="s">
        <v>217</v>
      </c>
      <c r="R7" s="84" t="str">
        <f t="shared" si="0"/>
        <v>CM-001|20</v>
      </c>
    </row>
    <row r="8" spans="1:18" ht="24" x14ac:dyDescent="0.35">
      <c r="A8" s="21" t="s">
        <v>14</v>
      </c>
      <c r="B8" s="82" t="s">
        <v>16</v>
      </c>
      <c r="C8" s="21" t="s">
        <v>15</v>
      </c>
      <c r="D8" s="82" t="s">
        <v>20</v>
      </c>
      <c r="E8" s="21">
        <v>4</v>
      </c>
      <c r="F8" s="82" t="s">
        <v>218</v>
      </c>
      <c r="G8" s="82" t="s">
        <v>209</v>
      </c>
      <c r="H8" s="21">
        <v>61</v>
      </c>
      <c r="I8" s="21">
        <v>90</v>
      </c>
      <c r="J8" s="21" t="s">
        <v>210</v>
      </c>
      <c r="K8" s="21">
        <v>30</v>
      </c>
      <c r="L8" s="22">
        <f>$K8/INDEX('Indicator Master'!$N$4:$N$24,MATCH($A8,'Indicator Master'!$A$4:$A$24,0))*'Risk Bands (Config)'!$B$5</f>
        <v>75</v>
      </c>
      <c r="M8" s="21">
        <f>IF($K8=INDEX('Indicator Master'!$N$4:$N$24,MATCH($A8,'Indicator Master'!$A$4:$A$24,0)),1,0)</f>
        <v>0</v>
      </c>
      <c r="N8" s="83"/>
      <c r="O8" s="82" t="s">
        <v>219</v>
      </c>
      <c r="P8" s="82" t="s">
        <v>220</v>
      </c>
      <c r="Q8" s="82" t="s">
        <v>221</v>
      </c>
      <c r="R8" s="84" t="str">
        <f t="shared" si="0"/>
        <v>CM-001|30</v>
      </c>
    </row>
    <row r="9" spans="1:18" ht="24" x14ac:dyDescent="0.35">
      <c r="A9" s="21" t="s">
        <v>14</v>
      </c>
      <c r="B9" s="82" t="s">
        <v>16</v>
      </c>
      <c r="C9" s="21" t="s">
        <v>15</v>
      </c>
      <c r="D9" s="82" t="s">
        <v>20</v>
      </c>
      <c r="E9" s="21">
        <v>5</v>
      </c>
      <c r="F9" s="82" t="s">
        <v>222</v>
      </c>
      <c r="G9" s="82" t="s">
        <v>223</v>
      </c>
      <c r="H9" s="21">
        <v>90</v>
      </c>
      <c r="I9" s="21"/>
      <c r="J9" s="21" t="s">
        <v>224</v>
      </c>
      <c r="K9" s="21">
        <v>40</v>
      </c>
      <c r="L9" s="22">
        <f>$K9/INDEX('Indicator Master'!$N$4:$N$24,MATCH($A9,'Indicator Master'!$A$4:$A$24,0))*'Risk Bands (Config)'!$B$5</f>
        <v>100</v>
      </c>
      <c r="M9" s="21">
        <f>IF($K9=INDEX('Indicator Master'!$N$4:$N$24,MATCH($A9,'Indicator Master'!$A$4:$A$24,0)),1,0)</f>
        <v>1</v>
      </c>
      <c r="N9" s="83"/>
      <c r="O9" s="82" t="s">
        <v>225</v>
      </c>
      <c r="P9" s="82" t="s">
        <v>226</v>
      </c>
      <c r="Q9" s="82" t="s">
        <v>227</v>
      </c>
      <c r="R9" s="84" t="str">
        <f t="shared" si="0"/>
        <v>CM-001|40</v>
      </c>
    </row>
    <row r="10" spans="1:18" ht="24" x14ac:dyDescent="0.35">
      <c r="A10" s="21" t="s">
        <v>27</v>
      </c>
      <c r="B10" s="82" t="s">
        <v>28</v>
      </c>
      <c r="C10" s="21" t="s">
        <v>15</v>
      </c>
      <c r="D10" s="82" t="s">
        <v>30</v>
      </c>
      <c r="E10" s="21">
        <v>1</v>
      </c>
      <c r="F10" s="82" t="s">
        <v>228</v>
      </c>
      <c r="G10" s="82" t="s">
        <v>229</v>
      </c>
      <c r="H10" s="21"/>
      <c r="I10" s="21">
        <v>0</v>
      </c>
      <c r="J10" s="21" t="s">
        <v>230</v>
      </c>
      <c r="K10" s="21">
        <v>0</v>
      </c>
      <c r="L10" s="22">
        <f>$K10/INDEX('Indicator Master'!$N$4:$N$24,MATCH($A10,'Indicator Master'!$A$4:$A$24,0))*'Risk Bands (Config)'!$B$5</f>
        <v>0</v>
      </c>
      <c r="M10" s="21">
        <f>IF($K10=INDEX('Indicator Master'!$N$4:$N$24,MATCH($A10,'Indicator Master'!$A$4:$A$24,0)),1,0)</f>
        <v>0</v>
      </c>
      <c r="N10" s="83"/>
      <c r="O10" s="82" t="s">
        <v>231</v>
      </c>
      <c r="P10" s="82" t="s">
        <v>206</v>
      </c>
      <c r="Q10" s="82" t="s">
        <v>207</v>
      </c>
      <c r="R10" s="84" t="str">
        <f t="shared" si="0"/>
        <v>CM-002|0</v>
      </c>
    </row>
    <row r="11" spans="1:18" ht="24" x14ac:dyDescent="0.35">
      <c r="A11" s="21" t="s">
        <v>27</v>
      </c>
      <c r="B11" s="82" t="s">
        <v>28</v>
      </c>
      <c r="C11" s="21" t="s">
        <v>15</v>
      </c>
      <c r="D11" s="82" t="s">
        <v>30</v>
      </c>
      <c r="E11" s="21">
        <v>2</v>
      </c>
      <c r="F11" s="82" t="s">
        <v>232</v>
      </c>
      <c r="G11" s="82" t="s">
        <v>233</v>
      </c>
      <c r="H11" s="21">
        <v>0</v>
      </c>
      <c r="I11" s="21">
        <v>5</v>
      </c>
      <c r="J11" s="21" t="s">
        <v>234</v>
      </c>
      <c r="K11" s="21">
        <v>10</v>
      </c>
      <c r="L11" s="22">
        <f>$K11/INDEX('Indicator Master'!$N$4:$N$24,MATCH($A11,'Indicator Master'!$A$4:$A$24,0))*'Risk Bands (Config)'!$B$5</f>
        <v>33.333333333333329</v>
      </c>
      <c r="M11" s="21">
        <f>IF($K11=INDEX('Indicator Master'!$N$4:$N$24,MATCH($A11,'Indicator Master'!$A$4:$A$24,0)),1,0)</f>
        <v>0</v>
      </c>
      <c r="N11" s="83"/>
      <c r="O11" s="82" t="s">
        <v>235</v>
      </c>
      <c r="P11" s="82" t="s">
        <v>236</v>
      </c>
      <c r="Q11" s="82" t="s">
        <v>217</v>
      </c>
      <c r="R11" s="84" t="str">
        <f t="shared" si="0"/>
        <v>CM-002|10</v>
      </c>
    </row>
    <row r="12" spans="1:18" ht="24" x14ac:dyDescent="0.35">
      <c r="A12" s="21" t="s">
        <v>27</v>
      </c>
      <c r="B12" s="82" t="s">
        <v>28</v>
      </c>
      <c r="C12" s="21" t="s">
        <v>15</v>
      </c>
      <c r="D12" s="82" t="s">
        <v>30</v>
      </c>
      <c r="E12" s="21">
        <v>3</v>
      </c>
      <c r="F12" s="82" t="s">
        <v>237</v>
      </c>
      <c r="G12" s="82" t="s">
        <v>233</v>
      </c>
      <c r="H12" s="21">
        <v>5</v>
      </c>
      <c r="I12" s="21">
        <v>10</v>
      </c>
      <c r="J12" s="21" t="s">
        <v>234</v>
      </c>
      <c r="K12" s="21">
        <v>20</v>
      </c>
      <c r="L12" s="22">
        <f>$K12/INDEX('Indicator Master'!$N$4:$N$24,MATCH($A12,'Indicator Master'!$A$4:$A$24,0))*'Risk Bands (Config)'!$B$5</f>
        <v>66.666666666666657</v>
      </c>
      <c r="M12" s="21">
        <f>IF($K12=INDEX('Indicator Master'!$N$4:$N$24,MATCH($A12,'Indicator Master'!$A$4:$A$24,0)),1,0)</f>
        <v>0</v>
      </c>
      <c r="N12" s="83"/>
      <c r="O12" s="82" t="s">
        <v>238</v>
      </c>
      <c r="P12" s="82" t="s">
        <v>239</v>
      </c>
      <c r="Q12" s="82" t="s">
        <v>221</v>
      </c>
      <c r="R12" s="84" t="str">
        <f t="shared" si="0"/>
        <v>CM-002|20</v>
      </c>
    </row>
    <row r="13" spans="1:18" ht="24" x14ac:dyDescent="0.35">
      <c r="A13" s="21" t="s">
        <v>27</v>
      </c>
      <c r="B13" s="82" t="s">
        <v>28</v>
      </c>
      <c r="C13" s="21" t="s">
        <v>15</v>
      </c>
      <c r="D13" s="82" t="s">
        <v>30</v>
      </c>
      <c r="E13" s="21">
        <v>4</v>
      </c>
      <c r="F13" s="82" t="s">
        <v>240</v>
      </c>
      <c r="G13" s="82" t="s">
        <v>229</v>
      </c>
      <c r="H13" s="21">
        <v>10</v>
      </c>
      <c r="I13" s="21"/>
      <c r="J13" s="21" t="s">
        <v>241</v>
      </c>
      <c r="K13" s="21">
        <v>30</v>
      </c>
      <c r="L13" s="22">
        <f>$K13/INDEX('Indicator Master'!$N$4:$N$24,MATCH($A13,'Indicator Master'!$A$4:$A$24,0))*'Risk Bands (Config)'!$B$5</f>
        <v>100</v>
      </c>
      <c r="M13" s="21">
        <f>IF($K13=INDEX('Indicator Master'!$N$4:$N$24,MATCH($A13,'Indicator Master'!$A$4:$A$24,0)),1,0)</f>
        <v>1</v>
      </c>
      <c r="N13" s="83"/>
      <c r="O13" s="82" t="s">
        <v>242</v>
      </c>
      <c r="P13" s="82" t="s">
        <v>243</v>
      </c>
      <c r="Q13" s="82" t="s">
        <v>227</v>
      </c>
      <c r="R13" s="84" t="str">
        <f t="shared" si="0"/>
        <v>CM-002|30</v>
      </c>
    </row>
    <row r="14" spans="1:18" ht="36" x14ac:dyDescent="0.35">
      <c r="A14" s="21" t="s">
        <v>33</v>
      </c>
      <c r="B14" s="82" t="s">
        <v>34</v>
      </c>
      <c r="C14" s="21" t="s">
        <v>15</v>
      </c>
      <c r="D14" s="82" t="s">
        <v>37</v>
      </c>
      <c r="E14" s="21">
        <v>1</v>
      </c>
      <c r="F14" s="82" t="s">
        <v>244</v>
      </c>
      <c r="G14" s="82" t="s">
        <v>229</v>
      </c>
      <c r="H14" s="21"/>
      <c r="I14" s="21">
        <v>10</v>
      </c>
      <c r="J14" s="21" t="s">
        <v>245</v>
      </c>
      <c r="K14" s="21">
        <v>0</v>
      </c>
      <c r="L14" s="22">
        <f>$K14/INDEX('Indicator Master'!$N$4:$N$24,MATCH($A14,'Indicator Master'!$A$4:$A$24,0))*'Risk Bands (Config)'!$B$5</f>
        <v>0</v>
      </c>
      <c r="M14" s="21">
        <f>IF($K14=INDEX('Indicator Master'!$N$4:$N$24,MATCH($A14,'Indicator Master'!$A$4:$A$24,0)),1,0)</f>
        <v>0</v>
      </c>
      <c r="N14" s="83"/>
      <c r="O14" s="82" t="s">
        <v>246</v>
      </c>
      <c r="P14" s="82" t="s">
        <v>206</v>
      </c>
      <c r="Q14" s="82" t="s">
        <v>207</v>
      </c>
      <c r="R14" s="84" t="str">
        <f t="shared" si="0"/>
        <v>CM-003|0</v>
      </c>
    </row>
    <row r="15" spans="1:18" ht="36" x14ac:dyDescent="0.35">
      <c r="A15" s="21" t="s">
        <v>33</v>
      </c>
      <c r="B15" s="82" t="s">
        <v>34</v>
      </c>
      <c r="C15" s="21" t="s">
        <v>15</v>
      </c>
      <c r="D15" s="82" t="s">
        <v>37</v>
      </c>
      <c r="E15" s="21">
        <v>2</v>
      </c>
      <c r="F15" s="82" t="s">
        <v>247</v>
      </c>
      <c r="G15" s="82" t="s">
        <v>233</v>
      </c>
      <c r="H15" s="21">
        <v>10</v>
      </c>
      <c r="I15" s="21">
        <v>20</v>
      </c>
      <c r="J15" s="21" t="s">
        <v>248</v>
      </c>
      <c r="K15" s="21">
        <v>10</v>
      </c>
      <c r="L15" s="22">
        <f>$K15/INDEX('Indicator Master'!$N$4:$N$24,MATCH($A15,'Indicator Master'!$A$4:$A$24,0))*'Risk Bands (Config)'!$B$5</f>
        <v>28.571428571428569</v>
      </c>
      <c r="M15" s="21">
        <f>IF($K15=INDEX('Indicator Master'!$N$4:$N$24,MATCH($A15,'Indicator Master'!$A$4:$A$24,0)),1,0)</f>
        <v>0</v>
      </c>
      <c r="N15" s="83"/>
      <c r="O15" s="82" t="s">
        <v>249</v>
      </c>
      <c r="P15" s="82" t="s">
        <v>250</v>
      </c>
      <c r="Q15" s="82" t="s">
        <v>213</v>
      </c>
      <c r="R15" s="84" t="str">
        <f t="shared" si="0"/>
        <v>CM-003|10</v>
      </c>
    </row>
    <row r="16" spans="1:18" ht="36" x14ac:dyDescent="0.35">
      <c r="A16" s="21" t="s">
        <v>33</v>
      </c>
      <c r="B16" s="82" t="s">
        <v>34</v>
      </c>
      <c r="C16" s="21" t="s">
        <v>15</v>
      </c>
      <c r="D16" s="82" t="s">
        <v>37</v>
      </c>
      <c r="E16" s="21">
        <v>3</v>
      </c>
      <c r="F16" s="82" t="s">
        <v>251</v>
      </c>
      <c r="G16" s="82" t="s">
        <v>233</v>
      </c>
      <c r="H16" s="21">
        <v>20</v>
      </c>
      <c r="I16" s="21">
        <v>40</v>
      </c>
      <c r="J16" s="21" t="s">
        <v>248</v>
      </c>
      <c r="K16" s="21">
        <v>20</v>
      </c>
      <c r="L16" s="22">
        <f>$K16/INDEX('Indicator Master'!$N$4:$N$24,MATCH($A16,'Indicator Master'!$A$4:$A$24,0))*'Risk Bands (Config)'!$B$5</f>
        <v>57.142857142857139</v>
      </c>
      <c r="M16" s="21">
        <f>IF($K16=INDEX('Indicator Master'!$N$4:$N$24,MATCH($A16,'Indicator Master'!$A$4:$A$24,0)),1,0)</f>
        <v>0</v>
      </c>
      <c r="N16" s="83"/>
      <c r="O16" s="82" t="s">
        <v>252</v>
      </c>
      <c r="P16" s="82" t="s">
        <v>253</v>
      </c>
      <c r="Q16" s="82" t="s">
        <v>217</v>
      </c>
      <c r="R16" s="84" t="str">
        <f t="shared" si="0"/>
        <v>CM-003|20</v>
      </c>
    </row>
    <row r="17" spans="1:18" ht="36" x14ac:dyDescent="0.35">
      <c r="A17" s="21" t="s">
        <v>33</v>
      </c>
      <c r="B17" s="82" t="s">
        <v>34</v>
      </c>
      <c r="C17" s="21" t="s">
        <v>15</v>
      </c>
      <c r="D17" s="82" t="s">
        <v>37</v>
      </c>
      <c r="E17" s="21">
        <v>4</v>
      </c>
      <c r="F17" s="82" t="s">
        <v>254</v>
      </c>
      <c r="G17" s="82" t="s">
        <v>229</v>
      </c>
      <c r="H17" s="21">
        <v>40</v>
      </c>
      <c r="I17" s="21"/>
      <c r="J17" s="21" t="s">
        <v>255</v>
      </c>
      <c r="K17" s="21">
        <v>35</v>
      </c>
      <c r="L17" s="22">
        <f>$K17/INDEX('Indicator Master'!$N$4:$N$24,MATCH($A17,'Indicator Master'!$A$4:$A$24,0))*'Risk Bands (Config)'!$B$5</f>
        <v>100</v>
      </c>
      <c r="M17" s="21">
        <f>IF($K17=INDEX('Indicator Master'!$N$4:$N$24,MATCH($A17,'Indicator Master'!$A$4:$A$24,0)),1,0)</f>
        <v>1</v>
      </c>
      <c r="N17" s="83"/>
      <c r="O17" s="82" t="s">
        <v>256</v>
      </c>
      <c r="P17" s="82" t="s">
        <v>257</v>
      </c>
      <c r="Q17" s="82" t="s">
        <v>227</v>
      </c>
      <c r="R17" s="84" t="str">
        <f t="shared" si="0"/>
        <v>CM-003|35</v>
      </c>
    </row>
    <row r="18" spans="1:18" ht="24" x14ac:dyDescent="0.35">
      <c r="A18" s="21" t="s">
        <v>43</v>
      </c>
      <c r="B18" s="82" t="s">
        <v>44</v>
      </c>
      <c r="C18" s="21" t="s">
        <v>15</v>
      </c>
      <c r="D18" s="82" t="s">
        <v>46</v>
      </c>
      <c r="E18" s="21">
        <v>1</v>
      </c>
      <c r="F18" s="82" t="s">
        <v>258</v>
      </c>
      <c r="G18" s="82" t="s">
        <v>259</v>
      </c>
      <c r="H18" s="21">
        <v>0</v>
      </c>
      <c r="I18" s="21">
        <v>0</v>
      </c>
      <c r="J18" s="21" t="s">
        <v>260</v>
      </c>
      <c r="K18" s="21">
        <v>0</v>
      </c>
      <c r="L18" s="22">
        <f>$K18/INDEX('Indicator Master'!$N$4:$N$24,MATCH($A18,'Indicator Master'!$A$4:$A$24,0))*'Risk Bands (Config)'!$B$5</f>
        <v>0</v>
      </c>
      <c r="M18" s="21">
        <f>IF($K18=INDEX('Indicator Master'!$N$4:$N$24,MATCH($A18,'Indicator Master'!$A$4:$A$24,0)),1,0)</f>
        <v>0</v>
      </c>
      <c r="N18" s="83"/>
      <c r="O18" s="82" t="s">
        <v>261</v>
      </c>
      <c r="P18" s="82" t="s">
        <v>206</v>
      </c>
      <c r="Q18" s="82" t="s">
        <v>207</v>
      </c>
      <c r="R18" s="84" t="str">
        <f t="shared" si="0"/>
        <v>CM-004|0</v>
      </c>
    </row>
    <row r="19" spans="1:18" ht="24" x14ac:dyDescent="0.35">
      <c r="A19" s="21" t="s">
        <v>43</v>
      </c>
      <c r="B19" s="82" t="s">
        <v>44</v>
      </c>
      <c r="C19" s="21" t="s">
        <v>15</v>
      </c>
      <c r="D19" s="82" t="s">
        <v>46</v>
      </c>
      <c r="E19" s="21">
        <v>2</v>
      </c>
      <c r="F19" s="82" t="s">
        <v>262</v>
      </c>
      <c r="G19" s="82" t="s">
        <v>259</v>
      </c>
      <c r="H19" s="21">
        <v>1</v>
      </c>
      <c r="I19" s="21">
        <v>1</v>
      </c>
      <c r="J19" s="21" t="s">
        <v>263</v>
      </c>
      <c r="K19" s="21">
        <v>15</v>
      </c>
      <c r="L19" s="22">
        <f>$K19/INDEX('Indicator Master'!$N$4:$N$24,MATCH($A19,'Indicator Master'!$A$4:$A$24,0))*'Risk Bands (Config)'!$B$5</f>
        <v>37.5</v>
      </c>
      <c r="M19" s="21">
        <f>IF($K19=INDEX('Indicator Master'!$N$4:$N$24,MATCH($A19,'Indicator Master'!$A$4:$A$24,0)),1,0)</f>
        <v>0</v>
      </c>
      <c r="N19" s="83"/>
      <c r="O19" s="82" t="s">
        <v>264</v>
      </c>
      <c r="P19" s="82" t="s">
        <v>265</v>
      </c>
      <c r="Q19" s="82" t="s">
        <v>217</v>
      </c>
      <c r="R19" s="84" t="str">
        <f t="shared" si="0"/>
        <v>CM-004|15</v>
      </c>
    </row>
    <row r="20" spans="1:18" ht="24" x14ac:dyDescent="0.35">
      <c r="A20" s="21" t="s">
        <v>43</v>
      </c>
      <c r="B20" s="82" t="s">
        <v>44</v>
      </c>
      <c r="C20" s="21" t="s">
        <v>15</v>
      </c>
      <c r="D20" s="82" t="s">
        <v>46</v>
      </c>
      <c r="E20" s="21">
        <v>3</v>
      </c>
      <c r="F20" s="82" t="s">
        <v>266</v>
      </c>
      <c r="G20" s="82" t="s">
        <v>259</v>
      </c>
      <c r="H20" s="21">
        <v>2</v>
      </c>
      <c r="I20" s="21">
        <v>2</v>
      </c>
      <c r="J20" s="21" t="s">
        <v>267</v>
      </c>
      <c r="K20" s="21">
        <v>30</v>
      </c>
      <c r="L20" s="22">
        <f>$K20/INDEX('Indicator Master'!$N$4:$N$24,MATCH($A20,'Indicator Master'!$A$4:$A$24,0))*'Risk Bands (Config)'!$B$5</f>
        <v>75</v>
      </c>
      <c r="M20" s="21">
        <f>IF($K20=INDEX('Indicator Master'!$N$4:$N$24,MATCH($A20,'Indicator Master'!$A$4:$A$24,0)),1,0)</f>
        <v>0</v>
      </c>
      <c r="N20" s="83"/>
      <c r="O20" s="82" t="s">
        <v>268</v>
      </c>
      <c r="P20" s="82" t="s">
        <v>269</v>
      </c>
      <c r="Q20" s="82" t="s">
        <v>221</v>
      </c>
      <c r="R20" s="84" t="str">
        <f t="shared" si="0"/>
        <v>CM-004|30</v>
      </c>
    </row>
    <row r="21" spans="1:18" ht="24" x14ac:dyDescent="0.35">
      <c r="A21" s="21" t="s">
        <v>43</v>
      </c>
      <c r="B21" s="82" t="s">
        <v>44</v>
      </c>
      <c r="C21" s="21" t="s">
        <v>15</v>
      </c>
      <c r="D21" s="82" t="s">
        <v>46</v>
      </c>
      <c r="E21" s="21">
        <v>4</v>
      </c>
      <c r="F21" s="82" t="s">
        <v>270</v>
      </c>
      <c r="G21" s="82" t="s">
        <v>271</v>
      </c>
      <c r="H21" s="21">
        <v>3</v>
      </c>
      <c r="I21" s="21"/>
      <c r="J21" s="21" t="s">
        <v>272</v>
      </c>
      <c r="K21" s="21">
        <v>40</v>
      </c>
      <c r="L21" s="22">
        <f>$K21/INDEX('Indicator Master'!$N$4:$N$24,MATCH($A21,'Indicator Master'!$A$4:$A$24,0))*'Risk Bands (Config)'!$B$5</f>
        <v>100</v>
      </c>
      <c r="M21" s="21">
        <f>IF($K21=INDEX('Indicator Master'!$N$4:$N$24,MATCH($A21,'Indicator Master'!$A$4:$A$24,0)),1,0)</f>
        <v>1</v>
      </c>
      <c r="N21" s="83"/>
      <c r="O21" s="82" t="s">
        <v>273</v>
      </c>
      <c r="P21" s="82" t="s">
        <v>274</v>
      </c>
      <c r="Q21" s="82" t="s">
        <v>227</v>
      </c>
      <c r="R21" s="84" t="str">
        <f t="shared" si="0"/>
        <v>CM-004|40</v>
      </c>
    </row>
    <row r="22" spans="1:18" ht="24" x14ac:dyDescent="0.35">
      <c r="A22" s="21" t="s">
        <v>52</v>
      </c>
      <c r="B22" s="82" t="s">
        <v>53</v>
      </c>
      <c r="C22" s="21" t="s">
        <v>15</v>
      </c>
      <c r="D22" s="82" t="s">
        <v>55</v>
      </c>
      <c r="E22" s="21">
        <v>1</v>
      </c>
      <c r="F22" s="82" t="s">
        <v>275</v>
      </c>
      <c r="G22" s="82" t="s">
        <v>276</v>
      </c>
      <c r="H22" s="21">
        <v>1.33</v>
      </c>
      <c r="I22" s="21"/>
      <c r="J22" s="21" t="s">
        <v>255</v>
      </c>
      <c r="K22" s="21">
        <v>0</v>
      </c>
      <c r="L22" s="22">
        <f>$K22/INDEX('Indicator Master'!$N$4:$N$24,MATCH($A22,'Indicator Master'!$A$4:$A$24,0))*'Risk Bands (Config)'!$B$5</f>
        <v>0</v>
      </c>
      <c r="M22" s="21">
        <f>IF($K22=INDEX('Indicator Master'!$N$4:$N$24,MATCH($A22,'Indicator Master'!$A$4:$A$24,0)),1,0)</f>
        <v>0</v>
      </c>
      <c r="N22" s="83"/>
      <c r="O22" s="82" t="s">
        <v>277</v>
      </c>
      <c r="P22" s="82" t="s">
        <v>206</v>
      </c>
      <c r="Q22" s="82" t="s">
        <v>207</v>
      </c>
      <c r="R22" s="84" t="str">
        <f t="shared" si="0"/>
        <v>CM-005|0</v>
      </c>
    </row>
    <row r="23" spans="1:18" ht="24" x14ac:dyDescent="0.35">
      <c r="A23" s="21" t="s">
        <v>52</v>
      </c>
      <c r="B23" s="82" t="s">
        <v>53</v>
      </c>
      <c r="C23" s="21" t="s">
        <v>15</v>
      </c>
      <c r="D23" s="82" t="s">
        <v>55</v>
      </c>
      <c r="E23" s="21">
        <v>2</v>
      </c>
      <c r="F23" s="82" t="s">
        <v>278</v>
      </c>
      <c r="G23" s="82" t="s">
        <v>279</v>
      </c>
      <c r="H23" s="21">
        <v>1.1000000000000001</v>
      </c>
      <c r="I23" s="21">
        <v>1.33</v>
      </c>
      <c r="J23" s="21" t="s">
        <v>248</v>
      </c>
      <c r="K23" s="21">
        <v>10</v>
      </c>
      <c r="L23" s="22">
        <f>$K23/INDEX('Indicator Master'!$N$4:$N$24,MATCH($A23,'Indicator Master'!$A$4:$A$24,0))*'Risk Bands (Config)'!$B$5</f>
        <v>28.571428571428569</v>
      </c>
      <c r="M23" s="21">
        <f>IF($K23=INDEX('Indicator Master'!$N$4:$N$24,MATCH($A23,'Indicator Master'!$A$4:$A$24,0)),1,0)</f>
        <v>0</v>
      </c>
      <c r="N23" s="83"/>
      <c r="O23" s="82" t="s">
        <v>280</v>
      </c>
      <c r="P23" s="82" t="s">
        <v>281</v>
      </c>
      <c r="Q23" s="82" t="s">
        <v>213</v>
      </c>
      <c r="R23" s="84" t="str">
        <f t="shared" si="0"/>
        <v>CM-005|10</v>
      </c>
    </row>
    <row r="24" spans="1:18" ht="24" x14ac:dyDescent="0.35">
      <c r="A24" s="21" t="s">
        <v>52</v>
      </c>
      <c r="B24" s="82" t="s">
        <v>53</v>
      </c>
      <c r="C24" s="21" t="s">
        <v>15</v>
      </c>
      <c r="D24" s="82" t="s">
        <v>55</v>
      </c>
      <c r="E24" s="21">
        <v>3</v>
      </c>
      <c r="F24" s="82" t="s">
        <v>282</v>
      </c>
      <c r="G24" s="82" t="s">
        <v>279</v>
      </c>
      <c r="H24" s="21">
        <v>1</v>
      </c>
      <c r="I24" s="21">
        <v>1.1000000000000001</v>
      </c>
      <c r="J24" s="21" t="s">
        <v>248</v>
      </c>
      <c r="K24" s="21">
        <v>20</v>
      </c>
      <c r="L24" s="22">
        <f>$K24/INDEX('Indicator Master'!$N$4:$N$24,MATCH($A24,'Indicator Master'!$A$4:$A$24,0))*'Risk Bands (Config)'!$B$5</f>
        <v>57.142857142857139</v>
      </c>
      <c r="M24" s="21">
        <f>IF($K24=INDEX('Indicator Master'!$N$4:$N$24,MATCH($A24,'Indicator Master'!$A$4:$A$24,0)),1,0)</f>
        <v>0</v>
      </c>
      <c r="N24" s="83"/>
      <c r="O24" s="82" t="s">
        <v>283</v>
      </c>
      <c r="P24" s="82" t="s">
        <v>284</v>
      </c>
      <c r="Q24" s="82" t="s">
        <v>217</v>
      </c>
      <c r="R24" s="84" t="str">
        <f t="shared" si="0"/>
        <v>CM-005|20</v>
      </c>
    </row>
    <row r="25" spans="1:18" ht="24" x14ac:dyDescent="0.35">
      <c r="A25" s="21" t="s">
        <v>52</v>
      </c>
      <c r="B25" s="82" t="s">
        <v>53</v>
      </c>
      <c r="C25" s="21" t="s">
        <v>15</v>
      </c>
      <c r="D25" s="82" t="s">
        <v>55</v>
      </c>
      <c r="E25" s="21">
        <v>4</v>
      </c>
      <c r="F25" s="82" t="s">
        <v>285</v>
      </c>
      <c r="G25" s="82" t="s">
        <v>276</v>
      </c>
      <c r="H25" s="21"/>
      <c r="I25" s="21">
        <v>1</v>
      </c>
      <c r="J25" s="21" t="s">
        <v>245</v>
      </c>
      <c r="K25" s="21">
        <v>35</v>
      </c>
      <c r="L25" s="22">
        <f>$K25/INDEX('Indicator Master'!$N$4:$N$24,MATCH($A25,'Indicator Master'!$A$4:$A$24,0))*'Risk Bands (Config)'!$B$5</f>
        <v>100</v>
      </c>
      <c r="M25" s="21">
        <f>IF($K25=INDEX('Indicator Master'!$N$4:$N$24,MATCH($A25,'Indicator Master'!$A$4:$A$24,0)),1,0)</f>
        <v>1</v>
      </c>
      <c r="N25" s="83"/>
      <c r="O25" s="82" t="s">
        <v>286</v>
      </c>
      <c r="P25" s="82" t="s">
        <v>287</v>
      </c>
      <c r="Q25" s="82" t="s">
        <v>227</v>
      </c>
      <c r="R25" s="84" t="str">
        <f t="shared" si="0"/>
        <v>CM-005|35</v>
      </c>
    </row>
    <row r="26" spans="1:18" ht="24" x14ac:dyDescent="0.35">
      <c r="A26" s="21" t="s">
        <v>58</v>
      </c>
      <c r="B26" s="82" t="s">
        <v>59</v>
      </c>
      <c r="C26" s="21" t="s">
        <v>15</v>
      </c>
      <c r="D26" s="82" t="s">
        <v>62</v>
      </c>
      <c r="E26" s="21">
        <v>1</v>
      </c>
      <c r="F26" s="82" t="s">
        <v>288</v>
      </c>
      <c r="G26" s="82" t="s">
        <v>289</v>
      </c>
      <c r="H26" s="21"/>
      <c r="I26" s="21"/>
      <c r="J26" s="21" t="s">
        <v>779</v>
      </c>
      <c r="K26" s="21">
        <v>0</v>
      </c>
      <c r="L26" s="22">
        <f>$K26/INDEX('Indicator Master'!$N$4:$N$24,MATCH($A26,'Indicator Master'!$A$4:$A$24,0))*'Risk Bands (Config)'!$B$5</f>
        <v>0</v>
      </c>
      <c r="M26" s="21">
        <f>IF($K26=INDEX('Indicator Master'!$N$4:$N$24,MATCH($A26,'Indicator Master'!$A$4:$A$24,0)),1,0)</f>
        <v>0</v>
      </c>
      <c r="N26" s="83"/>
      <c r="O26" s="82" t="s">
        <v>290</v>
      </c>
      <c r="P26" s="82" t="s">
        <v>206</v>
      </c>
      <c r="Q26" s="82" t="s">
        <v>207</v>
      </c>
      <c r="R26" s="84" t="str">
        <f t="shared" si="0"/>
        <v>CM-006|0</v>
      </c>
    </row>
    <row r="27" spans="1:18" ht="24" x14ac:dyDescent="0.35">
      <c r="A27" s="21" t="s">
        <v>58</v>
      </c>
      <c r="B27" s="82" t="s">
        <v>59</v>
      </c>
      <c r="C27" s="21" t="s">
        <v>15</v>
      </c>
      <c r="D27" s="82" t="s">
        <v>62</v>
      </c>
      <c r="E27" s="21">
        <v>2</v>
      </c>
      <c r="F27" s="82" t="s">
        <v>291</v>
      </c>
      <c r="G27" s="82" t="s">
        <v>289</v>
      </c>
      <c r="H27" s="21"/>
      <c r="I27" s="21"/>
      <c r="J27" s="21" t="s">
        <v>779</v>
      </c>
      <c r="K27" s="21">
        <v>10</v>
      </c>
      <c r="L27" s="22">
        <f>$K27/INDEX('Indicator Master'!$N$4:$N$24,MATCH($A27,'Indicator Master'!$A$4:$A$24,0))*'Risk Bands (Config)'!$B$5</f>
        <v>25</v>
      </c>
      <c r="M27" s="21">
        <f>IF($K27=INDEX('Indicator Master'!$N$4:$N$24,MATCH($A27,'Indicator Master'!$A$4:$A$24,0)),1,0)</f>
        <v>0</v>
      </c>
      <c r="N27" s="83"/>
      <c r="O27" s="82" t="s">
        <v>292</v>
      </c>
      <c r="P27" s="82" t="s">
        <v>293</v>
      </c>
      <c r="Q27" s="82" t="s">
        <v>213</v>
      </c>
      <c r="R27" s="84" t="str">
        <f t="shared" si="0"/>
        <v>CM-006|10</v>
      </c>
    </row>
    <row r="28" spans="1:18" ht="24" x14ac:dyDescent="0.35">
      <c r="A28" s="21" t="s">
        <v>58</v>
      </c>
      <c r="B28" s="82" t="s">
        <v>59</v>
      </c>
      <c r="C28" s="21" t="s">
        <v>15</v>
      </c>
      <c r="D28" s="82" t="s">
        <v>62</v>
      </c>
      <c r="E28" s="21">
        <v>3</v>
      </c>
      <c r="F28" s="82" t="s">
        <v>294</v>
      </c>
      <c r="G28" s="82" t="s">
        <v>289</v>
      </c>
      <c r="H28" s="21"/>
      <c r="I28" s="21"/>
      <c r="J28" s="21" t="s">
        <v>779</v>
      </c>
      <c r="K28" s="21">
        <v>25</v>
      </c>
      <c r="L28" s="22">
        <f>$K28/INDEX('Indicator Master'!$N$4:$N$24,MATCH($A28,'Indicator Master'!$A$4:$A$24,0))*'Risk Bands (Config)'!$B$5</f>
        <v>62.5</v>
      </c>
      <c r="M28" s="21">
        <f>IF($K28=INDEX('Indicator Master'!$N$4:$N$24,MATCH($A28,'Indicator Master'!$A$4:$A$24,0)),1,0)</f>
        <v>0</v>
      </c>
      <c r="N28" s="83"/>
      <c r="O28" s="82" t="s">
        <v>295</v>
      </c>
      <c r="P28" s="82" t="s">
        <v>296</v>
      </c>
      <c r="Q28" s="82" t="s">
        <v>221</v>
      </c>
      <c r="R28" s="84" t="str">
        <f t="shared" si="0"/>
        <v>CM-006|25</v>
      </c>
    </row>
    <row r="29" spans="1:18" ht="24" x14ac:dyDescent="0.35">
      <c r="A29" s="21" t="s">
        <v>58</v>
      </c>
      <c r="B29" s="82" t="s">
        <v>59</v>
      </c>
      <c r="C29" s="21" t="s">
        <v>15</v>
      </c>
      <c r="D29" s="82" t="s">
        <v>62</v>
      </c>
      <c r="E29" s="21">
        <v>4</v>
      </c>
      <c r="F29" s="82" t="s">
        <v>297</v>
      </c>
      <c r="G29" s="82" t="s">
        <v>289</v>
      </c>
      <c r="H29" s="21"/>
      <c r="I29" s="21"/>
      <c r="J29" s="21" t="s">
        <v>779</v>
      </c>
      <c r="K29" s="21">
        <v>40</v>
      </c>
      <c r="L29" s="22">
        <f>$K29/INDEX('Indicator Master'!$N$4:$N$24,MATCH($A29,'Indicator Master'!$A$4:$A$24,0))*'Risk Bands (Config)'!$B$5</f>
        <v>100</v>
      </c>
      <c r="M29" s="21">
        <f>IF($K29=INDEX('Indicator Master'!$N$4:$N$24,MATCH($A29,'Indicator Master'!$A$4:$A$24,0)),1,0)</f>
        <v>1</v>
      </c>
      <c r="N29" s="83"/>
      <c r="O29" s="82" t="s">
        <v>298</v>
      </c>
      <c r="P29" s="82" t="s">
        <v>299</v>
      </c>
      <c r="Q29" s="82" t="s">
        <v>227</v>
      </c>
      <c r="R29" s="84" t="str">
        <f t="shared" si="0"/>
        <v>CM-006|40</v>
      </c>
    </row>
    <row r="30" spans="1:18" ht="24" x14ac:dyDescent="0.35">
      <c r="A30" s="21" t="s">
        <v>69</v>
      </c>
      <c r="B30" s="82" t="s">
        <v>70</v>
      </c>
      <c r="C30" s="21" t="s">
        <v>15</v>
      </c>
      <c r="D30" s="82" t="s">
        <v>73</v>
      </c>
      <c r="E30" s="21">
        <v>1</v>
      </c>
      <c r="F30" s="82" t="s">
        <v>300</v>
      </c>
      <c r="G30" s="82" t="s">
        <v>289</v>
      </c>
      <c r="H30" s="21"/>
      <c r="I30" s="21"/>
      <c r="J30" s="21" t="s">
        <v>779</v>
      </c>
      <c r="K30" s="21">
        <v>0</v>
      </c>
      <c r="L30" s="22">
        <f>$K30/INDEX('Indicator Master'!$N$4:$N$24,MATCH($A30,'Indicator Master'!$A$4:$A$24,0))*'Risk Bands (Config)'!$B$5</f>
        <v>0</v>
      </c>
      <c r="M30" s="21">
        <f>IF($K30=INDEX('Indicator Master'!$N$4:$N$24,MATCH($A30,'Indicator Master'!$A$4:$A$24,0)),1,0)</f>
        <v>0</v>
      </c>
      <c r="N30" s="83"/>
      <c r="O30" s="82" t="s">
        <v>301</v>
      </c>
      <c r="P30" s="82" t="s">
        <v>206</v>
      </c>
      <c r="Q30" s="82" t="s">
        <v>207</v>
      </c>
      <c r="R30" s="84" t="str">
        <f t="shared" si="0"/>
        <v>CM-007|0</v>
      </c>
    </row>
    <row r="31" spans="1:18" ht="24" x14ac:dyDescent="0.35">
      <c r="A31" s="21" t="s">
        <v>69</v>
      </c>
      <c r="B31" s="82" t="s">
        <v>70</v>
      </c>
      <c r="C31" s="21" t="s">
        <v>15</v>
      </c>
      <c r="D31" s="82" t="s">
        <v>73</v>
      </c>
      <c r="E31" s="21">
        <v>2</v>
      </c>
      <c r="F31" s="82" t="s">
        <v>302</v>
      </c>
      <c r="G31" s="82" t="s">
        <v>289</v>
      </c>
      <c r="H31" s="21"/>
      <c r="I31" s="21"/>
      <c r="J31" s="21" t="s">
        <v>779</v>
      </c>
      <c r="K31" s="21">
        <v>15</v>
      </c>
      <c r="L31" s="22">
        <f>$K31/INDEX('Indicator Master'!$N$4:$N$24,MATCH($A31,'Indicator Master'!$A$4:$A$24,0))*'Risk Bands (Config)'!$B$5</f>
        <v>30</v>
      </c>
      <c r="M31" s="21">
        <f>IF($K31=INDEX('Indicator Master'!$N$4:$N$24,MATCH($A31,'Indicator Master'!$A$4:$A$24,0)),1,0)</f>
        <v>0</v>
      </c>
      <c r="N31" s="83"/>
      <c r="O31" s="82" t="s">
        <v>303</v>
      </c>
      <c r="P31" s="82" t="s">
        <v>304</v>
      </c>
      <c r="Q31" s="82" t="s">
        <v>213</v>
      </c>
      <c r="R31" s="84" t="str">
        <f t="shared" si="0"/>
        <v>CM-007|15</v>
      </c>
    </row>
    <row r="32" spans="1:18" ht="24" x14ac:dyDescent="0.35">
      <c r="A32" s="21" t="s">
        <v>69</v>
      </c>
      <c r="B32" s="82" t="s">
        <v>70</v>
      </c>
      <c r="C32" s="21" t="s">
        <v>15</v>
      </c>
      <c r="D32" s="82" t="s">
        <v>73</v>
      </c>
      <c r="E32" s="21">
        <v>3</v>
      </c>
      <c r="F32" s="82" t="s">
        <v>305</v>
      </c>
      <c r="G32" s="82" t="s">
        <v>289</v>
      </c>
      <c r="H32" s="21"/>
      <c r="I32" s="21"/>
      <c r="J32" s="21" t="s">
        <v>779</v>
      </c>
      <c r="K32" s="21">
        <v>30</v>
      </c>
      <c r="L32" s="22">
        <f>$K32/INDEX('Indicator Master'!$N$4:$N$24,MATCH($A32,'Indicator Master'!$A$4:$A$24,0))*'Risk Bands (Config)'!$B$5</f>
        <v>60</v>
      </c>
      <c r="M32" s="21">
        <f>IF($K32=INDEX('Indicator Master'!$N$4:$N$24,MATCH($A32,'Indicator Master'!$A$4:$A$24,0)),1,0)</f>
        <v>0</v>
      </c>
      <c r="N32" s="83"/>
      <c r="O32" s="82" t="s">
        <v>306</v>
      </c>
      <c r="P32" s="82" t="s">
        <v>307</v>
      </c>
      <c r="Q32" s="82" t="s">
        <v>217</v>
      </c>
      <c r="R32" s="84" t="str">
        <f t="shared" si="0"/>
        <v>CM-007|30</v>
      </c>
    </row>
    <row r="33" spans="1:18" ht="24" x14ac:dyDescent="0.35">
      <c r="A33" s="21" t="s">
        <v>69</v>
      </c>
      <c r="B33" s="82" t="s">
        <v>70</v>
      </c>
      <c r="C33" s="21" t="s">
        <v>15</v>
      </c>
      <c r="D33" s="82" t="s">
        <v>73</v>
      </c>
      <c r="E33" s="21">
        <v>4</v>
      </c>
      <c r="F33" s="82" t="s">
        <v>308</v>
      </c>
      <c r="G33" s="82" t="s">
        <v>289</v>
      </c>
      <c r="H33" s="21"/>
      <c r="I33" s="21"/>
      <c r="J33" s="21" t="s">
        <v>779</v>
      </c>
      <c r="K33" s="21">
        <v>50</v>
      </c>
      <c r="L33" s="22">
        <f>$K33/INDEX('Indicator Master'!$N$4:$N$24,MATCH($A33,'Indicator Master'!$A$4:$A$24,0))*'Risk Bands (Config)'!$B$5</f>
        <v>100</v>
      </c>
      <c r="M33" s="21">
        <f>IF($K33=INDEX('Indicator Master'!$N$4:$N$24,MATCH($A33,'Indicator Master'!$A$4:$A$24,0)),1,0)</f>
        <v>1</v>
      </c>
      <c r="N33" s="83"/>
      <c r="O33" s="82" t="s">
        <v>309</v>
      </c>
      <c r="P33" s="82" t="s">
        <v>310</v>
      </c>
      <c r="Q33" s="82" t="s">
        <v>311</v>
      </c>
      <c r="R33" s="84" t="str">
        <f t="shared" si="0"/>
        <v>CM-007|50</v>
      </c>
    </row>
    <row r="34" spans="1:18" ht="36" x14ac:dyDescent="0.35">
      <c r="A34" s="21" t="s">
        <v>79</v>
      </c>
      <c r="B34" s="82" t="s">
        <v>80</v>
      </c>
      <c r="C34" s="21" t="s">
        <v>15</v>
      </c>
      <c r="D34" s="82" t="s">
        <v>83</v>
      </c>
      <c r="E34" s="21">
        <v>1</v>
      </c>
      <c r="F34" s="82" t="s">
        <v>312</v>
      </c>
      <c r="G34" s="82" t="s">
        <v>289</v>
      </c>
      <c r="H34" s="21"/>
      <c r="I34" s="21"/>
      <c r="J34" s="21" t="s">
        <v>779</v>
      </c>
      <c r="K34" s="21">
        <v>0</v>
      </c>
      <c r="L34" s="22">
        <f>$K34/INDEX('Indicator Master'!$N$4:$N$24,MATCH($A34,'Indicator Master'!$A$4:$A$24,0))*'Risk Bands (Config)'!$B$5</f>
        <v>0</v>
      </c>
      <c r="M34" s="21">
        <f>IF($K34=INDEX('Indicator Master'!$N$4:$N$24,MATCH($A34,'Indicator Master'!$A$4:$A$24,0)),1,0)</f>
        <v>0</v>
      </c>
      <c r="N34" s="83"/>
      <c r="O34" s="82" t="s">
        <v>313</v>
      </c>
      <c r="P34" s="82" t="s">
        <v>206</v>
      </c>
      <c r="Q34" s="82" t="s">
        <v>207</v>
      </c>
      <c r="R34" s="84" t="str">
        <f t="shared" si="0"/>
        <v>CM-008|0</v>
      </c>
    </row>
    <row r="35" spans="1:18" ht="36" x14ac:dyDescent="0.35">
      <c r="A35" s="21" t="s">
        <v>79</v>
      </c>
      <c r="B35" s="82" t="s">
        <v>80</v>
      </c>
      <c r="C35" s="21" t="s">
        <v>15</v>
      </c>
      <c r="D35" s="82" t="s">
        <v>83</v>
      </c>
      <c r="E35" s="21">
        <v>2</v>
      </c>
      <c r="F35" s="82" t="s">
        <v>314</v>
      </c>
      <c r="G35" s="82" t="s">
        <v>289</v>
      </c>
      <c r="H35" s="21"/>
      <c r="I35" s="21"/>
      <c r="J35" s="21" t="s">
        <v>779</v>
      </c>
      <c r="K35" s="21">
        <v>15</v>
      </c>
      <c r="L35" s="22">
        <f>$K35/INDEX('Indicator Master'!$N$4:$N$24,MATCH($A35,'Indicator Master'!$A$4:$A$24,0))*'Risk Bands (Config)'!$B$5</f>
        <v>37.5</v>
      </c>
      <c r="M35" s="21">
        <f>IF($K35=INDEX('Indicator Master'!$N$4:$N$24,MATCH($A35,'Indicator Master'!$A$4:$A$24,0)),1,0)</f>
        <v>0</v>
      </c>
      <c r="N35" s="83"/>
      <c r="O35" s="82" t="s">
        <v>315</v>
      </c>
      <c r="P35" s="82" t="s">
        <v>316</v>
      </c>
      <c r="Q35" s="82" t="s">
        <v>217</v>
      </c>
      <c r="R35" s="84" t="str">
        <f t="shared" si="0"/>
        <v>CM-008|15</v>
      </c>
    </row>
    <row r="36" spans="1:18" ht="36" x14ac:dyDescent="0.35">
      <c r="A36" s="21" t="s">
        <v>79</v>
      </c>
      <c r="B36" s="82" t="s">
        <v>80</v>
      </c>
      <c r="C36" s="21" t="s">
        <v>15</v>
      </c>
      <c r="D36" s="82" t="s">
        <v>83</v>
      </c>
      <c r="E36" s="21">
        <v>3</v>
      </c>
      <c r="F36" s="82" t="s">
        <v>317</v>
      </c>
      <c r="G36" s="82" t="s">
        <v>289</v>
      </c>
      <c r="H36" s="21"/>
      <c r="I36" s="21"/>
      <c r="J36" s="21" t="s">
        <v>779</v>
      </c>
      <c r="K36" s="21">
        <v>30</v>
      </c>
      <c r="L36" s="22">
        <f>$K36/INDEX('Indicator Master'!$N$4:$N$24,MATCH($A36,'Indicator Master'!$A$4:$A$24,0))*'Risk Bands (Config)'!$B$5</f>
        <v>75</v>
      </c>
      <c r="M36" s="21">
        <f>IF($K36=INDEX('Indicator Master'!$N$4:$N$24,MATCH($A36,'Indicator Master'!$A$4:$A$24,0)),1,0)</f>
        <v>0</v>
      </c>
      <c r="N36" s="83"/>
      <c r="O36" s="82" t="s">
        <v>318</v>
      </c>
      <c r="P36" s="82" t="s">
        <v>319</v>
      </c>
      <c r="Q36" s="82" t="s">
        <v>221</v>
      </c>
      <c r="R36" s="84" t="str">
        <f t="shared" si="0"/>
        <v>CM-008|30</v>
      </c>
    </row>
    <row r="37" spans="1:18" ht="36" x14ac:dyDescent="0.35">
      <c r="A37" s="21" t="s">
        <v>79</v>
      </c>
      <c r="B37" s="82" t="s">
        <v>80</v>
      </c>
      <c r="C37" s="21" t="s">
        <v>15</v>
      </c>
      <c r="D37" s="82" t="s">
        <v>83</v>
      </c>
      <c r="E37" s="21">
        <v>4</v>
      </c>
      <c r="F37" s="82" t="s">
        <v>320</v>
      </c>
      <c r="G37" s="82" t="s">
        <v>289</v>
      </c>
      <c r="H37" s="21"/>
      <c r="I37" s="21"/>
      <c r="J37" s="21" t="s">
        <v>779</v>
      </c>
      <c r="K37" s="21">
        <v>40</v>
      </c>
      <c r="L37" s="22">
        <f>$K37/INDEX('Indicator Master'!$N$4:$N$24,MATCH($A37,'Indicator Master'!$A$4:$A$24,0))*'Risk Bands (Config)'!$B$5</f>
        <v>100</v>
      </c>
      <c r="M37" s="21">
        <f>IF($K37=INDEX('Indicator Master'!$N$4:$N$24,MATCH($A37,'Indicator Master'!$A$4:$A$24,0)),1,0)</f>
        <v>1</v>
      </c>
      <c r="N37" s="83"/>
      <c r="O37" s="82" t="s">
        <v>321</v>
      </c>
      <c r="P37" s="82" t="s">
        <v>322</v>
      </c>
      <c r="Q37" s="82" t="s">
        <v>227</v>
      </c>
      <c r="R37" s="84" t="str">
        <f t="shared" ref="R37:R68" si="1">$A37&amp;"|"&amp;$K37</f>
        <v>CM-008|40</v>
      </c>
    </row>
    <row r="38" spans="1:18" ht="24" x14ac:dyDescent="0.35">
      <c r="A38" s="21" t="s">
        <v>87</v>
      </c>
      <c r="B38" s="82" t="s">
        <v>88</v>
      </c>
      <c r="C38" s="21" t="s">
        <v>15</v>
      </c>
      <c r="D38" s="82" t="s">
        <v>91</v>
      </c>
      <c r="E38" s="21">
        <v>1</v>
      </c>
      <c r="F38" s="82" t="s">
        <v>323</v>
      </c>
      <c r="G38" s="82" t="s">
        <v>276</v>
      </c>
      <c r="H38" s="21">
        <v>1.25</v>
      </c>
      <c r="I38" s="21"/>
      <c r="J38" s="21" t="s">
        <v>255</v>
      </c>
      <c r="K38" s="21">
        <v>0</v>
      </c>
      <c r="L38" s="22">
        <f>$K38/INDEX('Indicator Master'!$N$4:$N$24,MATCH($A38,'Indicator Master'!$A$4:$A$24,0))*'Risk Bands (Config)'!$B$5</f>
        <v>0</v>
      </c>
      <c r="M38" s="21">
        <f>IF($K38=INDEX('Indicator Master'!$N$4:$N$24,MATCH($A38,'Indicator Master'!$A$4:$A$24,0)),1,0)</f>
        <v>0</v>
      </c>
      <c r="N38" s="83"/>
      <c r="O38" s="82" t="s">
        <v>324</v>
      </c>
      <c r="P38" s="82" t="s">
        <v>206</v>
      </c>
      <c r="Q38" s="82" t="s">
        <v>207</v>
      </c>
      <c r="R38" s="84" t="str">
        <f t="shared" si="1"/>
        <v>CM-009|0</v>
      </c>
    </row>
    <row r="39" spans="1:18" ht="24" x14ac:dyDescent="0.35">
      <c r="A39" s="21" t="s">
        <v>87</v>
      </c>
      <c r="B39" s="82" t="s">
        <v>88</v>
      </c>
      <c r="C39" s="21" t="s">
        <v>15</v>
      </c>
      <c r="D39" s="82" t="s">
        <v>91</v>
      </c>
      <c r="E39" s="21">
        <v>2</v>
      </c>
      <c r="F39" s="82" t="s">
        <v>325</v>
      </c>
      <c r="G39" s="82" t="s">
        <v>279</v>
      </c>
      <c r="H39" s="21">
        <v>1.1000000000000001</v>
      </c>
      <c r="I39" s="21">
        <v>1.25</v>
      </c>
      <c r="J39" s="21" t="s">
        <v>248</v>
      </c>
      <c r="K39" s="21">
        <v>15</v>
      </c>
      <c r="L39" s="22">
        <f>$K39/INDEX('Indicator Master'!$N$4:$N$24,MATCH($A39,'Indicator Master'!$A$4:$A$24,0))*'Risk Bands (Config)'!$B$5</f>
        <v>37.5</v>
      </c>
      <c r="M39" s="21">
        <f>IF($K39=INDEX('Indicator Master'!$N$4:$N$24,MATCH($A39,'Indicator Master'!$A$4:$A$24,0)),1,0)</f>
        <v>0</v>
      </c>
      <c r="N39" s="83"/>
      <c r="O39" s="82" t="s">
        <v>326</v>
      </c>
      <c r="P39" s="82" t="s">
        <v>327</v>
      </c>
      <c r="Q39" s="82" t="s">
        <v>217</v>
      </c>
      <c r="R39" s="84" t="str">
        <f t="shared" si="1"/>
        <v>CM-009|15</v>
      </c>
    </row>
    <row r="40" spans="1:18" ht="24" x14ac:dyDescent="0.35">
      <c r="A40" s="21" t="s">
        <v>87</v>
      </c>
      <c r="B40" s="82" t="s">
        <v>88</v>
      </c>
      <c r="C40" s="21" t="s">
        <v>15</v>
      </c>
      <c r="D40" s="82" t="s">
        <v>91</v>
      </c>
      <c r="E40" s="21">
        <v>3</v>
      </c>
      <c r="F40" s="82" t="s">
        <v>328</v>
      </c>
      <c r="G40" s="82" t="s">
        <v>279</v>
      </c>
      <c r="H40" s="21">
        <v>1</v>
      </c>
      <c r="I40" s="21">
        <v>1.1000000000000001</v>
      </c>
      <c r="J40" s="21" t="s">
        <v>248</v>
      </c>
      <c r="K40" s="21">
        <v>30</v>
      </c>
      <c r="L40" s="22">
        <f>$K40/INDEX('Indicator Master'!$N$4:$N$24,MATCH($A40,'Indicator Master'!$A$4:$A$24,0))*'Risk Bands (Config)'!$B$5</f>
        <v>75</v>
      </c>
      <c r="M40" s="21">
        <f>IF($K40=INDEX('Indicator Master'!$N$4:$N$24,MATCH($A40,'Indicator Master'!$A$4:$A$24,0)),1,0)</f>
        <v>0</v>
      </c>
      <c r="N40" s="83"/>
      <c r="O40" s="82" t="s">
        <v>329</v>
      </c>
      <c r="P40" s="82" t="s">
        <v>330</v>
      </c>
      <c r="Q40" s="82" t="s">
        <v>221</v>
      </c>
      <c r="R40" s="84" t="str">
        <f t="shared" si="1"/>
        <v>CM-009|30</v>
      </c>
    </row>
    <row r="41" spans="1:18" ht="24" x14ac:dyDescent="0.35">
      <c r="A41" s="21" t="s">
        <v>87</v>
      </c>
      <c r="B41" s="82" t="s">
        <v>88</v>
      </c>
      <c r="C41" s="21" t="s">
        <v>15</v>
      </c>
      <c r="D41" s="82" t="s">
        <v>91</v>
      </c>
      <c r="E41" s="21">
        <v>4</v>
      </c>
      <c r="F41" s="82" t="s">
        <v>331</v>
      </c>
      <c r="G41" s="82" t="s">
        <v>276</v>
      </c>
      <c r="H41" s="21"/>
      <c r="I41" s="21">
        <v>1</v>
      </c>
      <c r="J41" s="21" t="s">
        <v>245</v>
      </c>
      <c r="K41" s="21">
        <v>40</v>
      </c>
      <c r="L41" s="22">
        <f>$K41/INDEX('Indicator Master'!$N$4:$N$24,MATCH($A41,'Indicator Master'!$A$4:$A$24,0))*'Risk Bands (Config)'!$B$5</f>
        <v>100</v>
      </c>
      <c r="M41" s="21">
        <f>IF($K41=INDEX('Indicator Master'!$N$4:$N$24,MATCH($A41,'Indicator Master'!$A$4:$A$24,0)),1,0)</f>
        <v>1</v>
      </c>
      <c r="N41" s="83"/>
      <c r="O41" s="82" t="s">
        <v>332</v>
      </c>
      <c r="P41" s="82" t="s">
        <v>333</v>
      </c>
      <c r="Q41" s="82" t="s">
        <v>227</v>
      </c>
      <c r="R41" s="84" t="str">
        <f t="shared" si="1"/>
        <v>CM-009|40</v>
      </c>
    </row>
    <row r="42" spans="1:18" ht="24" x14ac:dyDescent="0.35">
      <c r="A42" s="21" t="s">
        <v>96</v>
      </c>
      <c r="B42" s="82" t="s">
        <v>97</v>
      </c>
      <c r="C42" s="21" t="s">
        <v>15</v>
      </c>
      <c r="D42" s="82" t="s">
        <v>99</v>
      </c>
      <c r="E42" s="21">
        <v>1</v>
      </c>
      <c r="F42" s="82" t="s">
        <v>334</v>
      </c>
      <c r="G42" s="82" t="s">
        <v>289</v>
      </c>
      <c r="H42" s="21"/>
      <c r="I42" s="21"/>
      <c r="J42" s="21" t="s">
        <v>779</v>
      </c>
      <c r="K42" s="21">
        <v>0</v>
      </c>
      <c r="L42" s="22">
        <f>$K42/INDEX('Indicator Master'!$N$4:$N$24,MATCH($A42,'Indicator Master'!$A$4:$A$24,0))*'Risk Bands (Config)'!$B$5</f>
        <v>0</v>
      </c>
      <c r="M42" s="21">
        <f>IF($K42=INDEX('Indicator Master'!$N$4:$N$24,MATCH($A42,'Indicator Master'!$A$4:$A$24,0)),1,0)</f>
        <v>0</v>
      </c>
      <c r="N42" s="83"/>
      <c r="O42" s="82" t="s">
        <v>335</v>
      </c>
      <c r="P42" s="82" t="s">
        <v>206</v>
      </c>
      <c r="Q42" s="82" t="s">
        <v>207</v>
      </c>
      <c r="R42" s="84" t="str">
        <f t="shared" si="1"/>
        <v>CM-010|0</v>
      </c>
    </row>
    <row r="43" spans="1:18" ht="24" x14ac:dyDescent="0.35">
      <c r="A43" s="21" t="s">
        <v>96</v>
      </c>
      <c r="B43" s="82" t="s">
        <v>97</v>
      </c>
      <c r="C43" s="21" t="s">
        <v>15</v>
      </c>
      <c r="D43" s="82" t="s">
        <v>99</v>
      </c>
      <c r="E43" s="21">
        <v>2</v>
      </c>
      <c r="F43" s="82" t="s">
        <v>336</v>
      </c>
      <c r="G43" s="82" t="s">
        <v>289</v>
      </c>
      <c r="H43" s="21"/>
      <c r="I43" s="21"/>
      <c r="J43" s="21" t="s">
        <v>779</v>
      </c>
      <c r="K43" s="21">
        <v>15</v>
      </c>
      <c r="L43" s="22">
        <f>$K43/INDEX('Indicator Master'!$N$4:$N$24,MATCH($A43,'Indicator Master'!$A$4:$A$24,0))*'Risk Bands (Config)'!$B$5</f>
        <v>37.5</v>
      </c>
      <c r="M43" s="21">
        <f>IF($K43=INDEX('Indicator Master'!$N$4:$N$24,MATCH($A43,'Indicator Master'!$A$4:$A$24,0)),1,0)</f>
        <v>0</v>
      </c>
      <c r="N43" s="83"/>
      <c r="O43" s="82" t="s">
        <v>337</v>
      </c>
      <c r="P43" s="82" t="s">
        <v>338</v>
      </c>
      <c r="Q43" s="82" t="s">
        <v>217</v>
      </c>
      <c r="R43" s="84" t="str">
        <f t="shared" si="1"/>
        <v>CM-010|15</v>
      </c>
    </row>
    <row r="44" spans="1:18" ht="24" x14ac:dyDescent="0.35">
      <c r="A44" s="21" t="s">
        <v>96</v>
      </c>
      <c r="B44" s="82" t="s">
        <v>97</v>
      </c>
      <c r="C44" s="21" t="s">
        <v>15</v>
      </c>
      <c r="D44" s="82" t="s">
        <v>99</v>
      </c>
      <c r="E44" s="21">
        <v>3</v>
      </c>
      <c r="F44" s="82" t="s">
        <v>339</v>
      </c>
      <c r="G44" s="82" t="s">
        <v>289</v>
      </c>
      <c r="H44" s="21"/>
      <c r="I44" s="21"/>
      <c r="J44" s="21" t="s">
        <v>779</v>
      </c>
      <c r="K44" s="21">
        <v>30</v>
      </c>
      <c r="L44" s="22">
        <f>$K44/INDEX('Indicator Master'!$N$4:$N$24,MATCH($A44,'Indicator Master'!$A$4:$A$24,0))*'Risk Bands (Config)'!$B$5</f>
        <v>75</v>
      </c>
      <c r="M44" s="21">
        <f>IF($K44=INDEX('Indicator Master'!$N$4:$N$24,MATCH($A44,'Indicator Master'!$A$4:$A$24,0)),1,0)</f>
        <v>0</v>
      </c>
      <c r="N44" s="83"/>
      <c r="O44" s="82" t="s">
        <v>340</v>
      </c>
      <c r="P44" s="82" t="s">
        <v>341</v>
      </c>
      <c r="Q44" s="82" t="s">
        <v>221</v>
      </c>
      <c r="R44" s="84" t="str">
        <f t="shared" si="1"/>
        <v>CM-010|30</v>
      </c>
    </row>
    <row r="45" spans="1:18" ht="24" x14ac:dyDescent="0.35">
      <c r="A45" s="21" t="s">
        <v>96</v>
      </c>
      <c r="B45" s="82" t="s">
        <v>97</v>
      </c>
      <c r="C45" s="21" t="s">
        <v>15</v>
      </c>
      <c r="D45" s="82" t="s">
        <v>99</v>
      </c>
      <c r="E45" s="21">
        <v>4</v>
      </c>
      <c r="F45" s="82" t="s">
        <v>342</v>
      </c>
      <c r="G45" s="82" t="s">
        <v>289</v>
      </c>
      <c r="H45" s="21"/>
      <c r="I45" s="21"/>
      <c r="J45" s="21" t="s">
        <v>779</v>
      </c>
      <c r="K45" s="21">
        <v>40</v>
      </c>
      <c r="L45" s="22">
        <f>$K45/INDEX('Indicator Master'!$N$4:$N$24,MATCH($A45,'Indicator Master'!$A$4:$A$24,0))*'Risk Bands (Config)'!$B$5</f>
        <v>100</v>
      </c>
      <c r="M45" s="21">
        <f>IF($K45=INDEX('Indicator Master'!$N$4:$N$24,MATCH($A45,'Indicator Master'!$A$4:$A$24,0)),1,0)</f>
        <v>1</v>
      </c>
      <c r="N45" s="83"/>
      <c r="O45" s="82" t="s">
        <v>343</v>
      </c>
      <c r="P45" s="82" t="s">
        <v>344</v>
      </c>
      <c r="Q45" s="82" t="s">
        <v>227</v>
      </c>
      <c r="R45" s="84" t="str">
        <f t="shared" si="1"/>
        <v>CM-010|40</v>
      </c>
    </row>
    <row r="46" spans="1:18" ht="24" x14ac:dyDescent="0.35">
      <c r="A46" s="21" t="s">
        <v>103</v>
      </c>
      <c r="B46" s="82" t="s">
        <v>104</v>
      </c>
      <c r="C46" s="21" t="s">
        <v>15</v>
      </c>
      <c r="D46" s="82" t="s">
        <v>107</v>
      </c>
      <c r="E46" s="21">
        <v>1</v>
      </c>
      <c r="F46" s="82" t="s">
        <v>345</v>
      </c>
      <c r="G46" s="82" t="s">
        <v>229</v>
      </c>
      <c r="H46" s="21"/>
      <c r="I46" s="21">
        <v>25</v>
      </c>
      <c r="J46" s="21" t="s">
        <v>245</v>
      </c>
      <c r="K46" s="21">
        <v>0</v>
      </c>
      <c r="L46" s="22">
        <f>$K46/INDEX('Indicator Master'!$N$4:$N$24,MATCH($A46,'Indicator Master'!$A$4:$A$24,0))*'Risk Bands (Config)'!$B$5</f>
        <v>0</v>
      </c>
      <c r="M46" s="21">
        <f>IF($K46=INDEX('Indicator Master'!$N$4:$N$24,MATCH($A46,'Indicator Master'!$A$4:$A$24,0)),1,0)</f>
        <v>0</v>
      </c>
      <c r="N46" s="83"/>
      <c r="O46" s="82" t="s">
        <v>346</v>
      </c>
      <c r="P46" s="82" t="s">
        <v>206</v>
      </c>
      <c r="Q46" s="82" t="s">
        <v>207</v>
      </c>
      <c r="R46" s="84" t="str">
        <f t="shared" si="1"/>
        <v>CM-011|0</v>
      </c>
    </row>
    <row r="47" spans="1:18" ht="24" x14ac:dyDescent="0.35">
      <c r="A47" s="21" t="s">
        <v>103</v>
      </c>
      <c r="B47" s="82" t="s">
        <v>104</v>
      </c>
      <c r="C47" s="21" t="s">
        <v>15</v>
      </c>
      <c r="D47" s="82" t="s">
        <v>107</v>
      </c>
      <c r="E47" s="21">
        <v>2</v>
      </c>
      <c r="F47" s="82" t="s">
        <v>347</v>
      </c>
      <c r="G47" s="82" t="s">
        <v>233</v>
      </c>
      <c r="H47" s="21">
        <v>25</v>
      </c>
      <c r="I47" s="21">
        <v>40</v>
      </c>
      <c r="J47" s="21" t="s">
        <v>248</v>
      </c>
      <c r="K47" s="21">
        <v>10</v>
      </c>
      <c r="L47" s="22">
        <f>$K47/INDEX('Indicator Master'!$N$4:$N$24,MATCH($A47,'Indicator Master'!$A$4:$A$24,0))*'Risk Bands (Config)'!$B$5</f>
        <v>33.333333333333329</v>
      </c>
      <c r="M47" s="21">
        <f>IF($K47=INDEX('Indicator Master'!$N$4:$N$24,MATCH($A47,'Indicator Master'!$A$4:$A$24,0)),1,0)</f>
        <v>0</v>
      </c>
      <c r="N47" s="83"/>
      <c r="O47" s="82" t="s">
        <v>348</v>
      </c>
      <c r="P47" s="82" t="s">
        <v>349</v>
      </c>
      <c r="Q47" s="82" t="s">
        <v>217</v>
      </c>
      <c r="R47" s="84" t="str">
        <f t="shared" si="1"/>
        <v>CM-011|10</v>
      </c>
    </row>
    <row r="48" spans="1:18" ht="24" x14ac:dyDescent="0.35">
      <c r="A48" s="21" t="s">
        <v>103</v>
      </c>
      <c r="B48" s="82" t="s">
        <v>104</v>
      </c>
      <c r="C48" s="21" t="s">
        <v>15</v>
      </c>
      <c r="D48" s="82" t="s">
        <v>107</v>
      </c>
      <c r="E48" s="21">
        <v>3</v>
      </c>
      <c r="F48" s="82" t="s">
        <v>350</v>
      </c>
      <c r="G48" s="82" t="s">
        <v>233</v>
      </c>
      <c r="H48" s="21">
        <v>40</v>
      </c>
      <c r="I48" s="21">
        <v>60</v>
      </c>
      <c r="J48" s="21" t="s">
        <v>248</v>
      </c>
      <c r="K48" s="21">
        <v>20</v>
      </c>
      <c r="L48" s="22">
        <f>$K48/INDEX('Indicator Master'!$N$4:$N$24,MATCH($A48,'Indicator Master'!$A$4:$A$24,0))*'Risk Bands (Config)'!$B$5</f>
        <v>66.666666666666657</v>
      </c>
      <c r="M48" s="21">
        <f>IF($K48=INDEX('Indicator Master'!$N$4:$N$24,MATCH($A48,'Indicator Master'!$A$4:$A$24,0)),1,0)</f>
        <v>0</v>
      </c>
      <c r="N48" s="83"/>
      <c r="O48" s="82" t="s">
        <v>351</v>
      </c>
      <c r="P48" s="82" t="s">
        <v>352</v>
      </c>
      <c r="Q48" s="82" t="s">
        <v>221</v>
      </c>
      <c r="R48" s="84" t="str">
        <f t="shared" si="1"/>
        <v>CM-011|20</v>
      </c>
    </row>
    <row r="49" spans="1:18" ht="24" x14ac:dyDescent="0.35">
      <c r="A49" s="21" t="s">
        <v>103</v>
      </c>
      <c r="B49" s="82" t="s">
        <v>104</v>
      </c>
      <c r="C49" s="21" t="s">
        <v>15</v>
      </c>
      <c r="D49" s="82" t="s">
        <v>107</v>
      </c>
      <c r="E49" s="21">
        <v>4</v>
      </c>
      <c r="F49" s="82" t="s">
        <v>353</v>
      </c>
      <c r="G49" s="82" t="s">
        <v>229</v>
      </c>
      <c r="H49" s="21">
        <v>60</v>
      </c>
      <c r="I49" s="21"/>
      <c r="J49" s="21" t="s">
        <v>255</v>
      </c>
      <c r="K49" s="21">
        <v>30</v>
      </c>
      <c r="L49" s="22">
        <f>$K49/INDEX('Indicator Master'!$N$4:$N$24,MATCH($A49,'Indicator Master'!$A$4:$A$24,0))*'Risk Bands (Config)'!$B$5</f>
        <v>100</v>
      </c>
      <c r="M49" s="21">
        <f>IF($K49=INDEX('Indicator Master'!$N$4:$N$24,MATCH($A49,'Indicator Master'!$A$4:$A$24,0)),1,0)</f>
        <v>1</v>
      </c>
      <c r="N49" s="83"/>
      <c r="O49" s="82" t="s">
        <v>354</v>
      </c>
      <c r="P49" s="82" t="s">
        <v>355</v>
      </c>
      <c r="Q49" s="82" t="s">
        <v>227</v>
      </c>
      <c r="R49" s="84" t="str">
        <f t="shared" si="1"/>
        <v>CM-011|30</v>
      </c>
    </row>
    <row r="50" spans="1:18" ht="24" x14ac:dyDescent="0.35">
      <c r="A50" s="21" t="s">
        <v>111</v>
      </c>
      <c r="B50" s="82" t="s">
        <v>112</v>
      </c>
      <c r="C50" s="21" t="s">
        <v>15</v>
      </c>
      <c r="D50" s="82" t="s">
        <v>114</v>
      </c>
      <c r="E50" s="21">
        <v>1</v>
      </c>
      <c r="F50" s="82" t="s">
        <v>345</v>
      </c>
      <c r="G50" s="82" t="s">
        <v>229</v>
      </c>
      <c r="H50" s="21"/>
      <c r="I50" s="21">
        <v>25</v>
      </c>
      <c r="J50" s="21" t="s">
        <v>245</v>
      </c>
      <c r="K50" s="21">
        <v>0</v>
      </c>
      <c r="L50" s="22">
        <f>$K50/INDEX('Indicator Master'!$N$4:$N$24,MATCH($A50,'Indicator Master'!$A$4:$A$24,0))*'Risk Bands (Config)'!$B$5</f>
        <v>0</v>
      </c>
      <c r="M50" s="21">
        <f>IF($K50=INDEX('Indicator Master'!$N$4:$N$24,MATCH($A50,'Indicator Master'!$A$4:$A$24,0)),1,0)</f>
        <v>0</v>
      </c>
      <c r="N50" s="83"/>
      <c r="O50" s="82" t="s">
        <v>356</v>
      </c>
      <c r="P50" s="82" t="s">
        <v>206</v>
      </c>
      <c r="Q50" s="82" t="s">
        <v>207</v>
      </c>
      <c r="R50" s="84" t="str">
        <f t="shared" si="1"/>
        <v>CM-012|0</v>
      </c>
    </row>
    <row r="51" spans="1:18" ht="24" x14ac:dyDescent="0.35">
      <c r="A51" s="21" t="s">
        <v>111</v>
      </c>
      <c r="B51" s="82" t="s">
        <v>112</v>
      </c>
      <c r="C51" s="21" t="s">
        <v>15</v>
      </c>
      <c r="D51" s="82" t="s">
        <v>114</v>
      </c>
      <c r="E51" s="21">
        <v>2</v>
      </c>
      <c r="F51" s="82" t="s">
        <v>347</v>
      </c>
      <c r="G51" s="82" t="s">
        <v>233</v>
      </c>
      <c r="H51" s="21">
        <v>25</v>
      </c>
      <c r="I51" s="21">
        <v>40</v>
      </c>
      <c r="J51" s="21" t="s">
        <v>248</v>
      </c>
      <c r="K51" s="21">
        <v>10</v>
      </c>
      <c r="L51" s="22">
        <f>$K51/INDEX('Indicator Master'!$N$4:$N$24,MATCH($A51,'Indicator Master'!$A$4:$A$24,0))*'Risk Bands (Config)'!$B$5</f>
        <v>33.333333333333329</v>
      </c>
      <c r="M51" s="21">
        <f>IF($K51=INDEX('Indicator Master'!$N$4:$N$24,MATCH($A51,'Indicator Master'!$A$4:$A$24,0)),1,0)</f>
        <v>0</v>
      </c>
      <c r="N51" s="83"/>
      <c r="O51" s="82" t="s">
        <v>357</v>
      </c>
      <c r="P51" s="82" t="s">
        <v>358</v>
      </c>
      <c r="Q51" s="82" t="s">
        <v>217</v>
      </c>
      <c r="R51" s="84" t="str">
        <f t="shared" si="1"/>
        <v>CM-012|10</v>
      </c>
    </row>
    <row r="52" spans="1:18" ht="24" x14ac:dyDescent="0.35">
      <c r="A52" s="21" t="s">
        <v>111</v>
      </c>
      <c r="B52" s="82" t="s">
        <v>112</v>
      </c>
      <c r="C52" s="21" t="s">
        <v>15</v>
      </c>
      <c r="D52" s="82" t="s">
        <v>114</v>
      </c>
      <c r="E52" s="21">
        <v>3</v>
      </c>
      <c r="F52" s="82" t="s">
        <v>350</v>
      </c>
      <c r="G52" s="82" t="s">
        <v>233</v>
      </c>
      <c r="H52" s="21">
        <v>40</v>
      </c>
      <c r="I52" s="21">
        <v>60</v>
      </c>
      <c r="J52" s="21" t="s">
        <v>248</v>
      </c>
      <c r="K52" s="21">
        <v>20</v>
      </c>
      <c r="L52" s="22">
        <f>$K52/INDEX('Indicator Master'!$N$4:$N$24,MATCH($A52,'Indicator Master'!$A$4:$A$24,0))*'Risk Bands (Config)'!$B$5</f>
        <v>66.666666666666657</v>
      </c>
      <c r="M52" s="21">
        <f>IF($K52=INDEX('Indicator Master'!$N$4:$N$24,MATCH($A52,'Indicator Master'!$A$4:$A$24,0)),1,0)</f>
        <v>0</v>
      </c>
      <c r="N52" s="83"/>
      <c r="O52" s="82" t="s">
        <v>359</v>
      </c>
      <c r="P52" s="82" t="s">
        <v>360</v>
      </c>
      <c r="Q52" s="82" t="s">
        <v>221</v>
      </c>
      <c r="R52" s="84" t="str">
        <f t="shared" si="1"/>
        <v>CM-012|20</v>
      </c>
    </row>
    <row r="53" spans="1:18" ht="24" x14ac:dyDescent="0.35">
      <c r="A53" s="21" t="s">
        <v>111</v>
      </c>
      <c r="B53" s="82" t="s">
        <v>112</v>
      </c>
      <c r="C53" s="21" t="s">
        <v>15</v>
      </c>
      <c r="D53" s="82" t="s">
        <v>114</v>
      </c>
      <c r="E53" s="21">
        <v>4</v>
      </c>
      <c r="F53" s="82" t="s">
        <v>353</v>
      </c>
      <c r="G53" s="82" t="s">
        <v>229</v>
      </c>
      <c r="H53" s="21">
        <v>60</v>
      </c>
      <c r="I53" s="21"/>
      <c r="J53" s="21" t="s">
        <v>255</v>
      </c>
      <c r="K53" s="21">
        <v>30</v>
      </c>
      <c r="L53" s="22">
        <f>$K53/INDEX('Indicator Master'!$N$4:$N$24,MATCH($A53,'Indicator Master'!$A$4:$A$24,0))*'Risk Bands (Config)'!$B$5</f>
        <v>100</v>
      </c>
      <c r="M53" s="21">
        <f>IF($K53=INDEX('Indicator Master'!$N$4:$N$24,MATCH($A53,'Indicator Master'!$A$4:$A$24,0)),1,0)</f>
        <v>1</v>
      </c>
      <c r="N53" s="83"/>
      <c r="O53" s="82" t="s">
        <v>361</v>
      </c>
      <c r="P53" s="82" t="s">
        <v>362</v>
      </c>
      <c r="Q53" s="82" t="s">
        <v>227</v>
      </c>
      <c r="R53" s="84" t="str">
        <f t="shared" si="1"/>
        <v>CM-012|30</v>
      </c>
    </row>
    <row r="54" spans="1:18" ht="24" x14ac:dyDescent="0.35">
      <c r="A54" s="21" t="s">
        <v>116</v>
      </c>
      <c r="B54" s="82" t="s">
        <v>117</v>
      </c>
      <c r="C54" s="21" t="s">
        <v>15</v>
      </c>
      <c r="D54" s="82" t="s">
        <v>120</v>
      </c>
      <c r="E54" s="21">
        <v>1</v>
      </c>
      <c r="F54" s="82" t="s">
        <v>363</v>
      </c>
      <c r="G54" s="82" t="s">
        <v>289</v>
      </c>
      <c r="H54" s="21"/>
      <c r="I54" s="21"/>
      <c r="J54" s="21" t="s">
        <v>779</v>
      </c>
      <c r="K54" s="21">
        <v>0</v>
      </c>
      <c r="L54" s="22">
        <f>$K54/INDEX('Indicator Master'!$N$4:$N$24,MATCH($A54,'Indicator Master'!$A$4:$A$24,0))*'Risk Bands (Config)'!$B$5</f>
        <v>0</v>
      </c>
      <c r="M54" s="21">
        <f>IF($K54=INDEX('Indicator Master'!$N$4:$N$24,MATCH($A54,'Indicator Master'!$A$4:$A$24,0)),1,0)</f>
        <v>0</v>
      </c>
      <c r="N54" s="83"/>
      <c r="O54" s="82" t="s">
        <v>364</v>
      </c>
      <c r="P54" s="82" t="s">
        <v>206</v>
      </c>
      <c r="Q54" s="82" t="s">
        <v>207</v>
      </c>
      <c r="R54" s="84" t="str">
        <f t="shared" si="1"/>
        <v>CM-013|0</v>
      </c>
    </row>
    <row r="55" spans="1:18" ht="24" x14ac:dyDescent="0.35">
      <c r="A55" s="21" t="s">
        <v>116</v>
      </c>
      <c r="B55" s="82" t="s">
        <v>117</v>
      </c>
      <c r="C55" s="21" t="s">
        <v>15</v>
      </c>
      <c r="D55" s="82" t="s">
        <v>120</v>
      </c>
      <c r="E55" s="21">
        <v>2</v>
      </c>
      <c r="F55" s="82" t="s">
        <v>365</v>
      </c>
      <c r="G55" s="82" t="s">
        <v>289</v>
      </c>
      <c r="H55" s="21"/>
      <c r="I55" s="21"/>
      <c r="J55" s="21" t="s">
        <v>779</v>
      </c>
      <c r="K55" s="21">
        <v>10</v>
      </c>
      <c r="L55" s="22">
        <f>$K55/INDEX('Indicator Master'!$N$4:$N$24,MATCH($A55,'Indicator Master'!$A$4:$A$24,0))*'Risk Bands (Config)'!$B$5</f>
        <v>28.571428571428569</v>
      </c>
      <c r="M55" s="21">
        <f>IF($K55=INDEX('Indicator Master'!$N$4:$N$24,MATCH($A55,'Indicator Master'!$A$4:$A$24,0)),1,0)</f>
        <v>0</v>
      </c>
      <c r="N55" s="83"/>
      <c r="O55" s="82" t="s">
        <v>366</v>
      </c>
      <c r="P55" s="82" t="s">
        <v>367</v>
      </c>
      <c r="Q55" s="82" t="s">
        <v>213</v>
      </c>
      <c r="R55" s="84" t="str">
        <f t="shared" si="1"/>
        <v>CM-013|10</v>
      </c>
    </row>
    <row r="56" spans="1:18" ht="24" x14ac:dyDescent="0.35">
      <c r="A56" s="21" t="s">
        <v>116</v>
      </c>
      <c r="B56" s="82" t="s">
        <v>117</v>
      </c>
      <c r="C56" s="21" t="s">
        <v>15</v>
      </c>
      <c r="D56" s="82" t="s">
        <v>120</v>
      </c>
      <c r="E56" s="21">
        <v>3</v>
      </c>
      <c r="F56" s="82" t="s">
        <v>368</v>
      </c>
      <c r="G56" s="82" t="s">
        <v>289</v>
      </c>
      <c r="H56" s="21"/>
      <c r="I56" s="21"/>
      <c r="J56" s="21" t="s">
        <v>779</v>
      </c>
      <c r="K56" s="21">
        <v>20</v>
      </c>
      <c r="L56" s="22">
        <f>$K56/INDEX('Indicator Master'!$N$4:$N$24,MATCH($A56,'Indicator Master'!$A$4:$A$24,0))*'Risk Bands (Config)'!$B$5</f>
        <v>57.142857142857139</v>
      </c>
      <c r="M56" s="21">
        <f>IF($K56=INDEX('Indicator Master'!$N$4:$N$24,MATCH($A56,'Indicator Master'!$A$4:$A$24,0)),1,0)</f>
        <v>0</v>
      </c>
      <c r="N56" s="83"/>
      <c r="O56" s="82" t="s">
        <v>369</v>
      </c>
      <c r="P56" s="82" t="s">
        <v>370</v>
      </c>
      <c r="Q56" s="82" t="s">
        <v>217</v>
      </c>
      <c r="R56" s="84" t="str">
        <f t="shared" si="1"/>
        <v>CM-013|20</v>
      </c>
    </row>
    <row r="57" spans="1:18" ht="24" x14ac:dyDescent="0.35">
      <c r="A57" s="21" t="s">
        <v>116</v>
      </c>
      <c r="B57" s="82" t="s">
        <v>117</v>
      </c>
      <c r="C57" s="21" t="s">
        <v>15</v>
      </c>
      <c r="D57" s="82" t="s">
        <v>120</v>
      </c>
      <c r="E57" s="21">
        <v>4</v>
      </c>
      <c r="F57" s="82" t="s">
        <v>371</v>
      </c>
      <c r="G57" s="82" t="s">
        <v>289</v>
      </c>
      <c r="H57" s="21"/>
      <c r="I57" s="21"/>
      <c r="J57" s="21" t="s">
        <v>779</v>
      </c>
      <c r="K57" s="21">
        <v>35</v>
      </c>
      <c r="L57" s="22">
        <f>$K57/INDEX('Indicator Master'!$N$4:$N$24,MATCH($A57,'Indicator Master'!$A$4:$A$24,0))*'Risk Bands (Config)'!$B$5</f>
        <v>100</v>
      </c>
      <c r="M57" s="21">
        <f>IF($K57=INDEX('Indicator Master'!$N$4:$N$24,MATCH($A57,'Indicator Master'!$A$4:$A$24,0)),1,0)</f>
        <v>1</v>
      </c>
      <c r="N57" s="83"/>
      <c r="O57" s="82" t="s">
        <v>372</v>
      </c>
      <c r="P57" s="82" t="s">
        <v>373</v>
      </c>
      <c r="Q57" s="82" t="s">
        <v>227</v>
      </c>
      <c r="R57" s="84" t="str">
        <f t="shared" si="1"/>
        <v>CM-013|35</v>
      </c>
    </row>
    <row r="58" spans="1:18" ht="24" x14ac:dyDescent="0.35">
      <c r="A58" s="21" t="s">
        <v>125</v>
      </c>
      <c r="B58" s="82" t="s">
        <v>126</v>
      </c>
      <c r="C58" s="21" t="s">
        <v>15</v>
      </c>
      <c r="D58" s="82" t="s">
        <v>128</v>
      </c>
      <c r="E58" s="21">
        <v>1</v>
      </c>
      <c r="F58" s="82" t="s">
        <v>363</v>
      </c>
      <c r="G58" s="82" t="s">
        <v>289</v>
      </c>
      <c r="H58" s="21"/>
      <c r="I58" s="21"/>
      <c r="J58" s="21" t="s">
        <v>779</v>
      </c>
      <c r="K58" s="21">
        <v>0</v>
      </c>
      <c r="L58" s="22">
        <f>$K58/INDEX('Indicator Master'!$N$4:$N$24,MATCH($A58,'Indicator Master'!$A$4:$A$24,0))*'Risk Bands (Config)'!$B$5</f>
        <v>0</v>
      </c>
      <c r="M58" s="21">
        <f>IF($K58=INDEX('Indicator Master'!$N$4:$N$24,MATCH($A58,'Indicator Master'!$A$4:$A$24,0)),1,0)</f>
        <v>0</v>
      </c>
      <c r="N58" s="83"/>
      <c r="O58" s="82" t="s">
        <v>374</v>
      </c>
      <c r="P58" s="82" t="s">
        <v>206</v>
      </c>
      <c r="Q58" s="82" t="s">
        <v>207</v>
      </c>
      <c r="R58" s="84" t="str">
        <f t="shared" si="1"/>
        <v>CM-014|0</v>
      </c>
    </row>
    <row r="59" spans="1:18" ht="24" x14ac:dyDescent="0.35">
      <c r="A59" s="21" t="s">
        <v>125</v>
      </c>
      <c r="B59" s="82" t="s">
        <v>126</v>
      </c>
      <c r="C59" s="21" t="s">
        <v>15</v>
      </c>
      <c r="D59" s="82" t="s">
        <v>128</v>
      </c>
      <c r="E59" s="21">
        <v>2</v>
      </c>
      <c r="F59" s="82" t="s">
        <v>365</v>
      </c>
      <c r="G59" s="82" t="s">
        <v>289</v>
      </c>
      <c r="H59" s="21"/>
      <c r="I59" s="21"/>
      <c r="J59" s="21" t="s">
        <v>779</v>
      </c>
      <c r="K59" s="21">
        <v>10</v>
      </c>
      <c r="L59" s="22">
        <f>$K59/INDEX('Indicator Master'!$N$4:$N$24,MATCH($A59,'Indicator Master'!$A$4:$A$24,0))*'Risk Bands (Config)'!$B$5</f>
        <v>28.571428571428569</v>
      </c>
      <c r="M59" s="21">
        <f>IF($K59=INDEX('Indicator Master'!$N$4:$N$24,MATCH($A59,'Indicator Master'!$A$4:$A$24,0)),1,0)</f>
        <v>0</v>
      </c>
      <c r="N59" s="83"/>
      <c r="O59" s="82" t="s">
        <v>375</v>
      </c>
      <c r="P59" s="82" t="s">
        <v>376</v>
      </c>
      <c r="Q59" s="82" t="s">
        <v>213</v>
      </c>
      <c r="R59" s="84" t="str">
        <f t="shared" si="1"/>
        <v>CM-014|10</v>
      </c>
    </row>
    <row r="60" spans="1:18" ht="24" x14ac:dyDescent="0.35">
      <c r="A60" s="21" t="s">
        <v>125</v>
      </c>
      <c r="B60" s="82" t="s">
        <v>126</v>
      </c>
      <c r="C60" s="21" t="s">
        <v>15</v>
      </c>
      <c r="D60" s="82" t="s">
        <v>128</v>
      </c>
      <c r="E60" s="21">
        <v>3</v>
      </c>
      <c r="F60" s="82" t="s">
        <v>368</v>
      </c>
      <c r="G60" s="82" t="s">
        <v>289</v>
      </c>
      <c r="H60" s="21"/>
      <c r="I60" s="21"/>
      <c r="J60" s="21" t="s">
        <v>779</v>
      </c>
      <c r="K60" s="21">
        <v>20</v>
      </c>
      <c r="L60" s="22">
        <f>$K60/INDEX('Indicator Master'!$N$4:$N$24,MATCH($A60,'Indicator Master'!$A$4:$A$24,0))*'Risk Bands (Config)'!$B$5</f>
        <v>57.142857142857139</v>
      </c>
      <c r="M60" s="21">
        <f>IF($K60=INDEX('Indicator Master'!$N$4:$N$24,MATCH($A60,'Indicator Master'!$A$4:$A$24,0)),1,0)</f>
        <v>0</v>
      </c>
      <c r="N60" s="83"/>
      <c r="O60" s="82" t="s">
        <v>377</v>
      </c>
      <c r="P60" s="82" t="s">
        <v>378</v>
      </c>
      <c r="Q60" s="82" t="s">
        <v>217</v>
      </c>
      <c r="R60" s="84" t="str">
        <f t="shared" si="1"/>
        <v>CM-014|20</v>
      </c>
    </row>
    <row r="61" spans="1:18" ht="24" x14ac:dyDescent="0.35">
      <c r="A61" s="21" t="s">
        <v>125</v>
      </c>
      <c r="B61" s="82" t="s">
        <v>126</v>
      </c>
      <c r="C61" s="21" t="s">
        <v>15</v>
      </c>
      <c r="D61" s="82" t="s">
        <v>128</v>
      </c>
      <c r="E61" s="21">
        <v>4</v>
      </c>
      <c r="F61" s="82" t="s">
        <v>371</v>
      </c>
      <c r="G61" s="82" t="s">
        <v>289</v>
      </c>
      <c r="H61" s="21"/>
      <c r="I61" s="21"/>
      <c r="J61" s="21" t="s">
        <v>779</v>
      </c>
      <c r="K61" s="21">
        <v>35</v>
      </c>
      <c r="L61" s="22">
        <f>$K61/INDEX('Indicator Master'!$N$4:$N$24,MATCH($A61,'Indicator Master'!$A$4:$A$24,0))*'Risk Bands (Config)'!$B$5</f>
        <v>100</v>
      </c>
      <c r="M61" s="21">
        <f>IF($K61=INDEX('Indicator Master'!$N$4:$N$24,MATCH($A61,'Indicator Master'!$A$4:$A$24,0)),1,0)</f>
        <v>1</v>
      </c>
      <c r="N61" s="83"/>
      <c r="O61" s="82" t="s">
        <v>379</v>
      </c>
      <c r="P61" s="82" t="s">
        <v>380</v>
      </c>
      <c r="Q61" s="82" t="s">
        <v>227</v>
      </c>
      <c r="R61" s="84" t="str">
        <f t="shared" si="1"/>
        <v>CM-014|35</v>
      </c>
    </row>
    <row r="62" spans="1:18" ht="24" x14ac:dyDescent="0.35">
      <c r="A62" s="21" t="s">
        <v>130</v>
      </c>
      <c r="B62" s="82" t="s">
        <v>131</v>
      </c>
      <c r="C62" s="21" t="s">
        <v>15</v>
      </c>
      <c r="D62" s="82" t="s">
        <v>134</v>
      </c>
      <c r="E62" s="21">
        <v>1</v>
      </c>
      <c r="F62" s="82" t="s">
        <v>363</v>
      </c>
      <c r="G62" s="82" t="s">
        <v>289</v>
      </c>
      <c r="H62" s="21"/>
      <c r="I62" s="21"/>
      <c r="J62" s="21" t="s">
        <v>779</v>
      </c>
      <c r="K62" s="21">
        <v>0</v>
      </c>
      <c r="L62" s="22">
        <f>$K62/INDEX('Indicator Master'!$N$4:$N$24,MATCH($A62,'Indicator Master'!$A$4:$A$24,0))*'Risk Bands (Config)'!$B$5</f>
        <v>0</v>
      </c>
      <c r="M62" s="21">
        <f>IF($K62=INDEX('Indicator Master'!$N$4:$N$24,MATCH($A62,'Indicator Master'!$A$4:$A$24,0)),1,0)</f>
        <v>0</v>
      </c>
      <c r="N62" s="83"/>
      <c r="O62" s="82" t="s">
        <v>381</v>
      </c>
      <c r="P62" s="82" t="s">
        <v>206</v>
      </c>
      <c r="Q62" s="82" t="s">
        <v>207</v>
      </c>
      <c r="R62" s="84" t="str">
        <f t="shared" si="1"/>
        <v>CM-015|0</v>
      </c>
    </row>
    <row r="63" spans="1:18" ht="24" x14ac:dyDescent="0.35">
      <c r="A63" s="21" t="s">
        <v>130</v>
      </c>
      <c r="B63" s="82" t="s">
        <v>131</v>
      </c>
      <c r="C63" s="21" t="s">
        <v>15</v>
      </c>
      <c r="D63" s="82" t="s">
        <v>134</v>
      </c>
      <c r="E63" s="21">
        <v>2</v>
      </c>
      <c r="F63" s="82" t="s">
        <v>365</v>
      </c>
      <c r="G63" s="82" t="s">
        <v>289</v>
      </c>
      <c r="H63" s="21"/>
      <c r="I63" s="21"/>
      <c r="J63" s="21" t="s">
        <v>779</v>
      </c>
      <c r="K63" s="21">
        <v>10</v>
      </c>
      <c r="L63" s="22">
        <f>$K63/INDEX('Indicator Master'!$N$4:$N$24,MATCH($A63,'Indicator Master'!$A$4:$A$24,0))*'Risk Bands (Config)'!$B$5</f>
        <v>28.571428571428569</v>
      </c>
      <c r="M63" s="21">
        <f>IF($K63=INDEX('Indicator Master'!$N$4:$N$24,MATCH($A63,'Indicator Master'!$A$4:$A$24,0)),1,0)</f>
        <v>0</v>
      </c>
      <c r="N63" s="83"/>
      <c r="O63" s="82" t="s">
        <v>382</v>
      </c>
      <c r="P63" s="82" t="s">
        <v>383</v>
      </c>
      <c r="Q63" s="82" t="s">
        <v>213</v>
      </c>
      <c r="R63" s="84" t="str">
        <f t="shared" si="1"/>
        <v>CM-015|10</v>
      </c>
    </row>
    <row r="64" spans="1:18" ht="24" x14ac:dyDescent="0.35">
      <c r="A64" s="21" t="s">
        <v>130</v>
      </c>
      <c r="B64" s="82" t="s">
        <v>131</v>
      </c>
      <c r="C64" s="21" t="s">
        <v>15</v>
      </c>
      <c r="D64" s="82" t="s">
        <v>134</v>
      </c>
      <c r="E64" s="21">
        <v>3</v>
      </c>
      <c r="F64" s="82" t="s">
        <v>368</v>
      </c>
      <c r="G64" s="82" t="s">
        <v>289</v>
      </c>
      <c r="H64" s="21"/>
      <c r="I64" s="21"/>
      <c r="J64" s="21" t="s">
        <v>779</v>
      </c>
      <c r="K64" s="21">
        <v>20</v>
      </c>
      <c r="L64" s="22">
        <f>$K64/INDEX('Indicator Master'!$N$4:$N$24,MATCH($A64,'Indicator Master'!$A$4:$A$24,0))*'Risk Bands (Config)'!$B$5</f>
        <v>57.142857142857139</v>
      </c>
      <c r="M64" s="21">
        <f>IF($K64=INDEX('Indicator Master'!$N$4:$N$24,MATCH($A64,'Indicator Master'!$A$4:$A$24,0)),1,0)</f>
        <v>0</v>
      </c>
      <c r="N64" s="83"/>
      <c r="O64" s="82" t="s">
        <v>384</v>
      </c>
      <c r="P64" s="82" t="s">
        <v>385</v>
      </c>
      <c r="Q64" s="82" t="s">
        <v>217</v>
      </c>
      <c r="R64" s="84" t="str">
        <f t="shared" si="1"/>
        <v>CM-015|20</v>
      </c>
    </row>
    <row r="65" spans="1:18" ht="24" x14ac:dyDescent="0.35">
      <c r="A65" s="21" t="s">
        <v>130</v>
      </c>
      <c r="B65" s="82" t="s">
        <v>131</v>
      </c>
      <c r="C65" s="21" t="s">
        <v>15</v>
      </c>
      <c r="D65" s="82" t="s">
        <v>134</v>
      </c>
      <c r="E65" s="21">
        <v>4</v>
      </c>
      <c r="F65" s="82" t="s">
        <v>371</v>
      </c>
      <c r="G65" s="82" t="s">
        <v>289</v>
      </c>
      <c r="H65" s="21"/>
      <c r="I65" s="21"/>
      <c r="J65" s="21" t="s">
        <v>779</v>
      </c>
      <c r="K65" s="21">
        <v>35</v>
      </c>
      <c r="L65" s="22">
        <f>$K65/INDEX('Indicator Master'!$N$4:$N$24,MATCH($A65,'Indicator Master'!$A$4:$A$24,0))*'Risk Bands (Config)'!$B$5</f>
        <v>100</v>
      </c>
      <c r="M65" s="21">
        <f>IF($K65=INDEX('Indicator Master'!$N$4:$N$24,MATCH($A65,'Indicator Master'!$A$4:$A$24,0)),1,0)</f>
        <v>1</v>
      </c>
      <c r="N65" s="83"/>
      <c r="O65" s="82" t="s">
        <v>386</v>
      </c>
      <c r="P65" s="82" t="s">
        <v>387</v>
      </c>
      <c r="Q65" s="82" t="s">
        <v>227</v>
      </c>
      <c r="R65" s="84" t="str">
        <f t="shared" si="1"/>
        <v>CM-015|35</v>
      </c>
    </row>
    <row r="66" spans="1:18" ht="24" x14ac:dyDescent="0.35">
      <c r="A66" s="21" t="s">
        <v>136</v>
      </c>
      <c r="B66" s="82" t="s">
        <v>137</v>
      </c>
      <c r="C66" s="21" t="s">
        <v>15</v>
      </c>
      <c r="D66" s="82" t="s">
        <v>140</v>
      </c>
      <c r="E66" s="21">
        <v>1</v>
      </c>
      <c r="F66" s="82" t="s">
        <v>388</v>
      </c>
      <c r="G66" s="82" t="s">
        <v>229</v>
      </c>
      <c r="H66" s="21"/>
      <c r="I66" s="21">
        <v>0</v>
      </c>
      <c r="J66" s="21" t="s">
        <v>230</v>
      </c>
      <c r="K66" s="21">
        <v>0</v>
      </c>
      <c r="L66" s="22">
        <f>$K66/INDEX('Indicator Master'!$N$4:$N$24,MATCH($A66,'Indicator Master'!$A$4:$A$24,0))*'Risk Bands (Config)'!$B$5</f>
        <v>0</v>
      </c>
      <c r="M66" s="21">
        <f>IF($K66=INDEX('Indicator Master'!$N$4:$N$24,MATCH($A66,'Indicator Master'!$A$4:$A$24,0)),1,0)</f>
        <v>0</v>
      </c>
      <c r="N66" s="83"/>
      <c r="O66" s="82" t="s">
        <v>389</v>
      </c>
      <c r="P66" s="82" t="s">
        <v>206</v>
      </c>
      <c r="Q66" s="82" t="s">
        <v>207</v>
      </c>
      <c r="R66" s="84" t="str">
        <f t="shared" si="1"/>
        <v>CM-016|0</v>
      </c>
    </row>
    <row r="67" spans="1:18" ht="24" x14ac:dyDescent="0.35">
      <c r="A67" s="21" t="s">
        <v>136</v>
      </c>
      <c r="B67" s="82" t="s">
        <v>137</v>
      </c>
      <c r="C67" s="21" t="s">
        <v>15</v>
      </c>
      <c r="D67" s="82" t="s">
        <v>140</v>
      </c>
      <c r="E67" s="21">
        <v>2</v>
      </c>
      <c r="F67" s="82" t="s">
        <v>390</v>
      </c>
      <c r="G67" s="82" t="s">
        <v>233</v>
      </c>
      <c r="H67" s="21">
        <v>0</v>
      </c>
      <c r="I67" s="21">
        <v>10</v>
      </c>
      <c r="J67" s="21" t="s">
        <v>234</v>
      </c>
      <c r="K67" s="21">
        <v>10</v>
      </c>
      <c r="L67" s="22">
        <f>$K67/INDEX('Indicator Master'!$N$4:$N$24,MATCH($A67,'Indicator Master'!$A$4:$A$24,0))*'Risk Bands (Config)'!$B$5</f>
        <v>25</v>
      </c>
      <c r="M67" s="21">
        <f>IF($K67=INDEX('Indicator Master'!$N$4:$N$24,MATCH($A67,'Indicator Master'!$A$4:$A$24,0)),1,0)</f>
        <v>0</v>
      </c>
      <c r="N67" s="83"/>
      <c r="O67" s="82" t="s">
        <v>391</v>
      </c>
      <c r="P67" s="82" t="s">
        <v>392</v>
      </c>
      <c r="Q67" s="82" t="s">
        <v>213</v>
      </c>
      <c r="R67" s="84" t="str">
        <f t="shared" si="1"/>
        <v>CM-016|10</v>
      </c>
    </row>
    <row r="68" spans="1:18" ht="24" x14ac:dyDescent="0.35">
      <c r="A68" s="21" t="s">
        <v>136</v>
      </c>
      <c r="B68" s="82" t="s">
        <v>137</v>
      </c>
      <c r="C68" s="21" t="s">
        <v>15</v>
      </c>
      <c r="D68" s="82" t="s">
        <v>140</v>
      </c>
      <c r="E68" s="21">
        <v>3</v>
      </c>
      <c r="F68" s="82" t="s">
        <v>393</v>
      </c>
      <c r="G68" s="82" t="s">
        <v>233</v>
      </c>
      <c r="H68" s="21">
        <v>10</v>
      </c>
      <c r="I68" s="21">
        <v>25</v>
      </c>
      <c r="J68" s="21" t="s">
        <v>234</v>
      </c>
      <c r="K68" s="21">
        <v>25</v>
      </c>
      <c r="L68" s="22">
        <f>$K68/INDEX('Indicator Master'!$N$4:$N$24,MATCH($A68,'Indicator Master'!$A$4:$A$24,0))*'Risk Bands (Config)'!$B$5</f>
        <v>62.5</v>
      </c>
      <c r="M68" s="21">
        <f>IF($K68=INDEX('Indicator Master'!$N$4:$N$24,MATCH($A68,'Indicator Master'!$A$4:$A$24,0)),1,0)</f>
        <v>0</v>
      </c>
      <c r="N68" s="83"/>
      <c r="O68" s="82" t="s">
        <v>394</v>
      </c>
      <c r="P68" s="82" t="s">
        <v>395</v>
      </c>
      <c r="Q68" s="82" t="s">
        <v>221</v>
      </c>
      <c r="R68" s="84" t="str">
        <f t="shared" si="1"/>
        <v>CM-016|25</v>
      </c>
    </row>
    <row r="69" spans="1:18" ht="24" x14ac:dyDescent="0.35">
      <c r="A69" s="21" t="s">
        <v>136</v>
      </c>
      <c r="B69" s="82" t="s">
        <v>137</v>
      </c>
      <c r="C69" s="21" t="s">
        <v>15</v>
      </c>
      <c r="D69" s="82" t="s">
        <v>140</v>
      </c>
      <c r="E69" s="21">
        <v>4</v>
      </c>
      <c r="F69" s="82" t="s">
        <v>396</v>
      </c>
      <c r="G69" s="82" t="s">
        <v>229</v>
      </c>
      <c r="H69" s="21">
        <v>25</v>
      </c>
      <c r="I69" s="21"/>
      <c r="J69" s="21" t="s">
        <v>397</v>
      </c>
      <c r="K69" s="21">
        <v>40</v>
      </c>
      <c r="L69" s="22">
        <f>$K69/INDEX('Indicator Master'!$N$4:$N$24,MATCH($A69,'Indicator Master'!$A$4:$A$24,0))*'Risk Bands (Config)'!$B$5</f>
        <v>100</v>
      </c>
      <c r="M69" s="21">
        <f>IF($K69=INDEX('Indicator Master'!$N$4:$N$24,MATCH($A69,'Indicator Master'!$A$4:$A$24,0)),1,0)</f>
        <v>1</v>
      </c>
      <c r="N69" s="83"/>
      <c r="O69" s="82" t="s">
        <v>398</v>
      </c>
      <c r="P69" s="82" t="s">
        <v>399</v>
      </c>
      <c r="Q69" s="82" t="s">
        <v>227</v>
      </c>
      <c r="R69" s="84" t="str">
        <f t="shared" ref="R69:R89" si="2">$A69&amp;"|"&amp;$K69</f>
        <v>CM-016|40</v>
      </c>
    </row>
    <row r="70" spans="1:18" ht="24" x14ac:dyDescent="0.35">
      <c r="A70" s="21" t="s">
        <v>143</v>
      </c>
      <c r="B70" s="82" t="s">
        <v>144</v>
      </c>
      <c r="C70" s="21" t="s">
        <v>15</v>
      </c>
      <c r="D70" s="82" t="s">
        <v>146</v>
      </c>
      <c r="E70" s="21">
        <v>1</v>
      </c>
      <c r="F70" s="82" t="s">
        <v>388</v>
      </c>
      <c r="G70" s="82" t="s">
        <v>229</v>
      </c>
      <c r="H70" s="21"/>
      <c r="I70" s="21">
        <v>0</v>
      </c>
      <c r="J70" s="21" t="s">
        <v>230</v>
      </c>
      <c r="K70" s="21">
        <v>0</v>
      </c>
      <c r="L70" s="22">
        <f>$K70/INDEX('Indicator Master'!$N$4:$N$24,MATCH($A70,'Indicator Master'!$A$4:$A$24,0))*'Risk Bands (Config)'!$B$5</f>
        <v>0</v>
      </c>
      <c r="M70" s="21">
        <f>IF($K70=INDEX('Indicator Master'!$N$4:$N$24,MATCH($A70,'Indicator Master'!$A$4:$A$24,0)),1,0)</f>
        <v>0</v>
      </c>
      <c r="N70" s="83"/>
      <c r="O70" s="82" t="s">
        <v>400</v>
      </c>
      <c r="P70" s="82" t="s">
        <v>206</v>
      </c>
      <c r="Q70" s="82" t="s">
        <v>207</v>
      </c>
      <c r="R70" s="84" t="str">
        <f t="shared" si="2"/>
        <v>CM-017|0</v>
      </c>
    </row>
    <row r="71" spans="1:18" ht="24" x14ac:dyDescent="0.35">
      <c r="A71" s="21" t="s">
        <v>143</v>
      </c>
      <c r="B71" s="82" t="s">
        <v>144</v>
      </c>
      <c r="C71" s="21" t="s">
        <v>15</v>
      </c>
      <c r="D71" s="82" t="s">
        <v>146</v>
      </c>
      <c r="E71" s="21">
        <v>2</v>
      </c>
      <c r="F71" s="82" t="s">
        <v>401</v>
      </c>
      <c r="G71" s="82" t="s">
        <v>233</v>
      </c>
      <c r="H71" s="21">
        <v>0</v>
      </c>
      <c r="I71" s="21">
        <v>10</v>
      </c>
      <c r="J71" s="21" t="s">
        <v>234</v>
      </c>
      <c r="K71" s="21">
        <v>10</v>
      </c>
      <c r="L71" s="22">
        <f>$K71/INDEX('Indicator Master'!$N$4:$N$24,MATCH($A71,'Indicator Master'!$A$4:$A$24,0))*'Risk Bands (Config)'!$B$5</f>
        <v>25</v>
      </c>
      <c r="M71" s="21">
        <f>IF($K71=INDEX('Indicator Master'!$N$4:$N$24,MATCH($A71,'Indicator Master'!$A$4:$A$24,0)),1,0)</f>
        <v>0</v>
      </c>
      <c r="N71" s="83"/>
      <c r="O71" s="82" t="s">
        <v>402</v>
      </c>
      <c r="P71" s="82" t="s">
        <v>403</v>
      </c>
      <c r="Q71" s="82" t="s">
        <v>213</v>
      </c>
      <c r="R71" s="84" t="str">
        <f t="shared" si="2"/>
        <v>CM-017|10</v>
      </c>
    </row>
    <row r="72" spans="1:18" ht="24" x14ac:dyDescent="0.35">
      <c r="A72" s="21" t="s">
        <v>143</v>
      </c>
      <c r="B72" s="82" t="s">
        <v>144</v>
      </c>
      <c r="C72" s="21" t="s">
        <v>15</v>
      </c>
      <c r="D72" s="82" t="s">
        <v>146</v>
      </c>
      <c r="E72" s="21">
        <v>3</v>
      </c>
      <c r="F72" s="82" t="s">
        <v>393</v>
      </c>
      <c r="G72" s="82" t="s">
        <v>233</v>
      </c>
      <c r="H72" s="21">
        <v>10</v>
      </c>
      <c r="I72" s="21">
        <v>25</v>
      </c>
      <c r="J72" s="21" t="s">
        <v>234</v>
      </c>
      <c r="K72" s="21">
        <v>25</v>
      </c>
      <c r="L72" s="22">
        <f>$K72/INDEX('Indicator Master'!$N$4:$N$24,MATCH($A72,'Indicator Master'!$A$4:$A$24,0))*'Risk Bands (Config)'!$B$5</f>
        <v>62.5</v>
      </c>
      <c r="M72" s="21">
        <f>IF($K72=INDEX('Indicator Master'!$N$4:$N$24,MATCH($A72,'Indicator Master'!$A$4:$A$24,0)),1,0)</f>
        <v>0</v>
      </c>
      <c r="N72" s="83"/>
      <c r="O72" s="82" t="s">
        <v>404</v>
      </c>
      <c r="P72" s="82" t="s">
        <v>405</v>
      </c>
      <c r="Q72" s="82" t="s">
        <v>221</v>
      </c>
      <c r="R72" s="84" t="str">
        <f t="shared" si="2"/>
        <v>CM-017|25</v>
      </c>
    </row>
    <row r="73" spans="1:18" ht="24" x14ac:dyDescent="0.35">
      <c r="A73" s="21" t="s">
        <v>143</v>
      </c>
      <c r="B73" s="82" t="s">
        <v>144</v>
      </c>
      <c r="C73" s="21" t="s">
        <v>15</v>
      </c>
      <c r="D73" s="82" t="s">
        <v>146</v>
      </c>
      <c r="E73" s="21">
        <v>4</v>
      </c>
      <c r="F73" s="82" t="s">
        <v>396</v>
      </c>
      <c r="G73" s="82" t="s">
        <v>229</v>
      </c>
      <c r="H73" s="21">
        <v>25</v>
      </c>
      <c r="I73" s="21"/>
      <c r="J73" s="21" t="s">
        <v>397</v>
      </c>
      <c r="K73" s="21">
        <v>40</v>
      </c>
      <c r="L73" s="22">
        <f>$K73/INDEX('Indicator Master'!$N$4:$N$24,MATCH($A73,'Indicator Master'!$A$4:$A$24,0))*'Risk Bands (Config)'!$B$5</f>
        <v>100</v>
      </c>
      <c r="M73" s="21">
        <f>IF($K73=INDEX('Indicator Master'!$N$4:$N$24,MATCH($A73,'Indicator Master'!$A$4:$A$24,0)),1,0)</f>
        <v>1</v>
      </c>
      <c r="N73" s="83"/>
      <c r="O73" s="82" t="s">
        <v>406</v>
      </c>
      <c r="P73" s="82" t="s">
        <v>407</v>
      </c>
      <c r="Q73" s="82" t="s">
        <v>227</v>
      </c>
      <c r="R73" s="84" t="str">
        <f t="shared" si="2"/>
        <v>CM-017|40</v>
      </c>
    </row>
    <row r="74" spans="1:18" ht="24" x14ac:dyDescent="0.35">
      <c r="A74" s="21" t="s">
        <v>149</v>
      </c>
      <c r="B74" s="82" t="s">
        <v>150</v>
      </c>
      <c r="C74" s="21" t="s">
        <v>15</v>
      </c>
      <c r="D74" s="82" t="s">
        <v>153</v>
      </c>
      <c r="E74" s="21">
        <v>1</v>
      </c>
      <c r="F74" s="82" t="s">
        <v>408</v>
      </c>
      <c r="G74" s="82" t="s">
        <v>409</v>
      </c>
      <c r="H74" s="21">
        <v>0</v>
      </c>
      <c r="I74" s="21">
        <v>0</v>
      </c>
      <c r="J74" s="21" t="s">
        <v>204</v>
      </c>
      <c r="K74" s="21">
        <v>0</v>
      </c>
      <c r="L74" s="22">
        <f>$K74/INDEX('Indicator Master'!$N$4:$N$24,MATCH($A74,'Indicator Master'!$A$4:$A$24,0))*'Risk Bands (Config)'!$B$5</f>
        <v>0</v>
      </c>
      <c r="M74" s="21">
        <f>IF($K74=INDEX('Indicator Master'!$N$4:$N$24,MATCH($A74,'Indicator Master'!$A$4:$A$24,0)),1,0)</f>
        <v>0</v>
      </c>
      <c r="N74" s="83"/>
      <c r="O74" s="82" t="s">
        <v>410</v>
      </c>
      <c r="P74" s="82" t="s">
        <v>206</v>
      </c>
      <c r="Q74" s="82" t="s">
        <v>207</v>
      </c>
      <c r="R74" s="84" t="str">
        <f t="shared" si="2"/>
        <v>CM-018|0</v>
      </c>
    </row>
    <row r="75" spans="1:18" ht="24" x14ac:dyDescent="0.35">
      <c r="A75" s="21" t="s">
        <v>149</v>
      </c>
      <c r="B75" s="82" t="s">
        <v>150</v>
      </c>
      <c r="C75" s="21" t="s">
        <v>15</v>
      </c>
      <c r="D75" s="82" t="s">
        <v>153</v>
      </c>
      <c r="E75" s="21">
        <v>2</v>
      </c>
      <c r="F75" s="82" t="s">
        <v>411</v>
      </c>
      <c r="G75" s="82" t="s">
        <v>223</v>
      </c>
      <c r="H75" s="21"/>
      <c r="I75" s="21">
        <v>15</v>
      </c>
      <c r="J75" s="21" t="s">
        <v>412</v>
      </c>
      <c r="K75" s="21">
        <v>10</v>
      </c>
      <c r="L75" s="22">
        <f>$K75/INDEX('Indicator Master'!$N$4:$N$24,MATCH($A75,'Indicator Master'!$A$4:$A$24,0))*'Risk Bands (Config)'!$B$5</f>
        <v>33.333333333333329</v>
      </c>
      <c r="M75" s="21">
        <f>IF($K75=INDEX('Indicator Master'!$N$4:$N$24,MATCH($A75,'Indicator Master'!$A$4:$A$24,0)),1,0)</f>
        <v>0</v>
      </c>
      <c r="N75" s="83"/>
      <c r="O75" s="82" t="s">
        <v>413</v>
      </c>
      <c r="P75" s="82" t="s">
        <v>414</v>
      </c>
      <c r="Q75" s="82" t="s">
        <v>217</v>
      </c>
      <c r="R75" s="84" t="str">
        <f t="shared" si="2"/>
        <v>CM-018|10</v>
      </c>
    </row>
    <row r="76" spans="1:18" ht="24" x14ac:dyDescent="0.35">
      <c r="A76" s="21" t="s">
        <v>149</v>
      </c>
      <c r="B76" s="82" t="s">
        <v>150</v>
      </c>
      <c r="C76" s="21" t="s">
        <v>15</v>
      </c>
      <c r="D76" s="82" t="s">
        <v>153</v>
      </c>
      <c r="E76" s="21">
        <v>3</v>
      </c>
      <c r="F76" s="82" t="s">
        <v>415</v>
      </c>
      <c r="G76" s="82" t="s">
        <v>209</v>
      </c>
      <c r="H76" s="21">
        <v>15</v>
      </c>
      <c r="I76" s="21">
        <v>30</v>
      </c>
      <c r="J76" s="21" t="s">
        <v>234</v>
      </c>
      <c r="K76" s="21">
        <v>20</v>
      </c>
      <c r="L76" s="22">
        <f>$K76/INDEX('Indicator Master'!$N$4:$N$24,MATCH($A76,'Indicator Master'!$A$4:$A$24,0))*'Risk Bands (Config)'!$B$5</f>
        <v>66.666666666666657</v>
      </c>
      <c r="M76" s="21">
        <f>IF($K76=INDEX('Indicator Master'!$N$4:$N$24,MATCH($A76,'Indicator Master'!$A$4:$A$24,0)),1,0)</f>
        <v>0</v>
      </c>
      <c r="N76" s="83"/>
      <c r="O76" s="82" t="s">
        <v>416</v>
      </c>
      <c r="P76" s="82" t="s">
        <v>417</v>
      </c>
      <c r="Q76" s="82" t="s">
        <v>221</v>
      </c>
      <c r="R76" s="84" t="str">
        <f t="shared" si="2"/>
        <v>CM-018|20</v>
      </c>
    </row>
    <row r="77" spans="1:18" ht="24" x14ac:dyDescent="0.35">
      <c r="A77" s="21" t="s">
        <v>149</v>
      </c>
      <c r="B77" s="82" t="s">
        <v>150</v>
      </c>
      <c r="C77" s="21" t="s">
        <v>15</v>
      </c>
      <c r="D77" s="82" t="s">
        <v>153</v>
      </c>
      <c r="E77" s="21">
        <v>4</v>
      </c>
      <c r="F77" s="82" t="s">
        <v>418</v>
      </c>
      <c r="G77" s="82" t="s">
        <v>223</v>
      </c>
      <c r="H77" s="21">
        <v>30</v>
      </c>
      <c r="I77" s="21"/>
      <c r="J77" s="21" t="s">
        <v>224</v>
      </c>
      <c r="K77" s="21">
        <v>30</v>
      </c>
      <c r="L77" s="22">
        <f>$K77/INDEX('Indicator Master'!$N$4:$N$24,MATCH($A77,'Indicator Master'!$A$4:$A$24,0))*'Risk Bands (Config)'!$B$5</f>
        <v>100</v>
      </c>
      <c r="M77" s="21">
        <f>IF($K77=INDEX('Indicator Master'!$N$4:$N$24,MATCH($A77,'Indicator Master'!$A$4:$A$24,0)),1,0)</f>
        <v>1</v>
      </c>
      <c r="N77" s="83"/>
      <c r="O77" s="82" t="s">
        <v>419</v>
      </c>
      <c r="P77" s="82" t="s">
        <v>420</v>
      </c>
      <c r="Q77" s="82" t="s">
        <v>227</v>
      </c>
      <c r="R77" s="84" t="str">
        <f t="shared" si="2"/>
        <v>CM-018|30</v>
      </c>
    </row>
    <row r="78" spans="1:18" ht="24" x14ac:dyDescent="0.35">
      <c r="A78" s="21" t="s">
        <v>158</v>
      </c>
      <c r="B78" s="82" t="s">
        <v>159</v>
      </c>
      <c r="C78" s="21" t="s">
        <v>15</v>
      </c>
      <c r="D78" s="82" t="s">
        <v>161</v>
      </c>
      <c r="E78" s="21">
        <v>1</v>
      </c>
      <c r="F78" s="82" t="s">
        <v>421</v>
      </c>
      <c r="G78" s="82" t="s">
        <v>289</v>
      </c>
      <c r="H78" s="21"/>
      <c r="I78" s="21"/>
      <c r="J78" s="21" t="s">
        <v>779</v>
      </c>
      <c r="K78" s="21">
        <v>0</v>
      </c>
      <c r="L78" s="22">
        <f>$K78/INDEX('Indicator Master'!$N$4:$N$24,MATCH($A78,'Indicator Master'!$A$4:$A$24,0))*'Risk Bands (Config)'!$B$5</f>
        <v>0</v>
      </c>
      <c r="M78" s="21">
        <f>IF($K78=INDEX('Indicator Master'!$N$4:$N$24,MATCH($A78,'Indicator Master'!$A$4:$A$24,0)),1,0)</f>
        <v>0</v>
      </c>
      <c r="N78" s="83"/>
      <c r="O78" s="82" t="s">
        <v>422</v>
      </c>
      <c r="P78" s="82" t="s">
        <v>206</v>
      </c>
      <c r="Q78" s="82" t="s">
        <v>207</v>
      </c>
      <c r="R78" s="84" t="str">
        <f t="shared" si="2"/>
        <v>CM-019|0</v>
      </c>
    </row>
    <row r="79" spans="1:18" ht="24" x14ac:dyDescent="0.35">
      <c r="A79" s="21" t="s">
        <v>158</v>
      </c>
      <c r="B79" s="82" t="s">
        <v>159</v>
      </c>
      <c r="C79" s="21" t="s">
        <v>15</v>
      </c>
      <c r="D79" s="82" t="s">
        <v>161</v>
      </c>
      <c r="E79" s="21">
        <v>2</v>
      </c>
      <c r="F79" s="82" t="s">
        <v>423</v>
      </c>
      <c r="G79" s="82" t="s">
        <v>289</v>
      </c>
      <c r="H79" s="21"/>
      <c r="I79" s="21"/>
      <c r="J79" s="21" t="s">
        <v>779</v>
      </c>
      <c r="K79" s="21">
        <v>10</v>
      </c>
      <c r="L79" s="22">
        <f>$K79/INDEX('Indicator Master'!$N$4:$N$24,MATCH($A79,'Indicator Master'!$A$4:$A$24,0))*'Risk Bands (Config)'!$B$5</f>
        <v>25</v>
      </c>
      <c r="M79" s="21">
        <f>IF($K79=INDEX('Indicator Master'!$N$4:$N$24,MATCH($A79,'Indicator Master'!$A$4:$A$24,0)),1,0)</f>
        <v>0</v>
      </c>
      <c r="N79" s="83"/>
      <c r="O79" s="82" t="s">
        <v>424</v>
      </c>
      <c r="P79" s="82" t="s">
        <v>425</v>
      </c>
      <c r="Q79" s="82" t="s">
        <v>213</v>
      </c>
      <c r="R79" s="84" t="str">
        <f t="shared" si="2"/>
        <v>CM-019|10</v>
      </c>
    </row>
    <row r="80" spans="1:18" ht="24" x14ac:dyDescent="0.35">
      <c r="A80" s="21" t="s">
        <v>158</v>
      </c>
      <c r="B80" s="82" t="s">
        <v>159</v>
      </c>
      <c r="C80" s="21" t="s">
        <v>15</v>
      </c>
      <c r="D80" s="82" t="s">
        <v>161</v>
      </c>
      <c r="E80" s="21">
        <v>3</v>
      </c>
      <c r="F80" s="82" t="s">
        <v>426</v>
      </c>
      <c r="G80" s="82" t="s">
        <v>289</v>
      </c>
      <c r="H80" s="21"/>
      <c r="I80" s="21"/>
      <c r="J80" s="21" t="s">
        <v>779</v>
      </c>
      <c r="K80" s="21">
        <v>25</v>
      </c>
      <c r="L80" s="22">
        <f>$K80/INDEX('Indicator Master'!$N$4:$N$24,MATCH($A80,'Indicator Master'!$A$4:$A$24,0))*'Risk Bands (Config)'!$B$5</f>
        <v>62.5</v>
      </c>
      <c r="M80" s="21">
        <f>IF($K80=INDEX('Indicator Master'!$N$4:$N$24,MATCH($A80,'Indicator Master'!$A$4:$A$24,0)),1,0)</f>
        <v>0</v>
      </c>
      <c r="N80" s="83"/>
      <c r="O80" s="82" t="s">
        <v>427</v>
      </c>
      <c r="P80" s="82" t="s">
        <v>428</v>
      </c>
      <c r="Q80" s="82" t="s">
        <v>221</v>
      </c>
      <c r="R80" s="84" t="str">
        <f t="shared" si="2"/>
        <v>CM-019|25</v>
      </c>
    </row>
    <row r="81" spans="1:18" ht="24" x14ac:dyDescent="0.35">
      <c r="A81" s="21" t="s">
        <v>158</v>
      </c>
      <c r="B81" s="82" t="s">
        <v>159</v>
      </c>
      <c r="C81" s="21" t="s">
        <v>15</v>
      </c>
      <c r="D81" s="82" t="s">
        <v>161</v>
      </c>
      <c r="E81" s="21">
        <v>4</v>
      </c>
      <c r="F81" s="82" t="s">
        <v>429</v>
      </c>
      <c r="G81" s="82" t="s">
        <v>289</v>
      </c>
      <c r="H81" s="21"/>
      <c r="I81" s="21"/>
      <c r="J81" s="21" t="s">
        <v>779</v>
      </c>
      <c r="K81" s="21">
        <v>40</v>
      </c>
      <c r="L81" s="22">
        <f>$K81/INDEX('Indicator Master'!$N$4:$N$24,MATCH($A81,'Indicator Master'!$A$4:$A$24,0))*'Risk Bands (Config)'!$B$5</f>
        <v>100</v>
      </c>
      <c r="M81" s="21">
        <f>IF($K81=INDEX('Indicator Master'!$N$4:$N$24,MATCH($A81,'Indicator Master'!$A$4:$A$24,0)),1,0)</f>
        <v>1</v>
      </c>
      <c r="N81" s="83"/>
      <c r="O81" s="82" t="s">
        <v>430</v>
      </c>
      <c r="P81" s="82" t="s">
        <v>431</v>
      </c>
      <c r="Q81" s="82" t="s">
        <v>227</v>
      </c>
      <c r="R81" s="84" t="str">
        <f t="shared" si="2"/>
        <v>CM-019|40</v>
      </c>
    </row>
    <row r="82" spans="1:18" ht="24" x14ac:dyDescent="0.35">
      <c r="A82" s="21" t="s">
        <v>164</v>
      </c>
      <c r="B82" s="82" t="s">
        <v>165</v>
      </c>
      <c r="C82" s="21" t="s">
        <v>15</v>
      </c>
      <c r="D82" s="82" t="s">
        <v>168</v>
      </c>
      <c r="E82" s="21">
        <v>1</v>
      </c>
      <c r="F82" s="82" t="s">
        <v>432</v>
      </c>
      <c r="G82" s="82" t="s">
        <v>289</v>
      </c>
      <c r="H82" s="21"/>
      <c r="I82" s="21"/>
      <c r="J82" s="21" t="s">
        <v>779</v>
      </c>
      <c r="K82" s="21">
        <v>0</v>
      </c>
      <c r="L82" s="22">
        <f>$K82/INDEX('Indicator Master'!$N$4:$N$24,MATCH($A82,'Indicator Master'!$A$4:$A$24,0))*'Risk Bands (Config)'!$B$5</f>
        <v>0</v>
      </c>
      <c r="M82" s="21">
        <f>IF($K82=INDEX('Indicator Master'!$N$4:$N$24,MATCH($A82,'Indicator Master'!$A$4:$A$24,0)),1,0)</f>
        <v>0</v>
      </c>
      <c r="N82" s="83"/>
      <c r="O82" s="82" t="s">
        <v>433</v>
      </c>
      <c r="P82" s="82" t="s">
        <v>206</v>
      </c>
      <c r="Q82" s="82" t="s">
        <v>207</v>
      </c>
      <c r="R82" s="84" t="str">
        <f t="shared" si="2"/>
        <v>CM-020|0</v>
      </c>
    </row>
    <row r="83" spans="1:18" ht="24" x14ac:dyDescent="0.35">
      <c r="A83" s="21" t="s">
        <v>164</v>
      </c>
      <c r="B83" s="82" t="s">
        <v>165</v>
      </c>
      <c r="C83" s="21" t="s">
        <v>15</v>
      </c>
      <c r="D83" s="82" t="s">
        <v>168</v>
      </c>
      <c r="E83" s="21">
        <v>2</v>
      </c>
      <c r="F83" s="82" t="s">
        <v>434</v>
      </c>
      <c r="G83" s="82" t="s">
        <v>289</v>
      </c>
      <c r="H83" s="21"/>
      <c r="I83" s="21"/>
      <c r="J83" s="21" t="s">
        <v>779</v>
      </c>
      <c r="K83" s="21">
        <v>10</v>
      </c>
      <c r="L83" s="22">
        <f>$K83/INDEX('Indicator Master'!$N$4:$N$24,MATCH($A83,'Indicator Master'!$A$4:$A$24,0))*'Risk Bands (Config)'!$B$5</f>
        <v>20</v>
      </c>
      <c r="M83" s="21">
        <f>IF($K83=INDEX('Indicator Master'!$N$4:$N$24,MATCH($A83,'Indicator Master'!$A$4:$A$24,0)),1,0)</f>
        <v>0</v>
      </c>
      <c r="N83" s="83"/>
      <c r="O83" s="82" t="s">
        <v>435</v>
      </c>
      <c r="P83" s="82" t="s">
        <v>436</v>
      </c>
      <c r="Q83" s="82" t="s">
        <v>213</v>
      </c>
      <c r="R83" s="84" t="str">
        <f t="shared" si="2"/>
        <v>CM-020|10</v>
      </c>
    </row>
    <row r="84" spans="1:18" ht="24" x14ac:dyDescent="0.35">
      <c r="A84" s="21" t="s">
        <v>164</v>
      </c>
      <c r="B84" s="82" t="s">
        <v>165</v>
      </c>
      <c r="C84" s="21" t="s">
        <v>15</v>
      </c>
      <c r="D84" s="82" t="s">
        <v>168</v>
      </c>
      <c r="E84" s="21">
        <v>3</v>
      </c>
      <c r="F84" s="82" t="s">
        <v>437</v>
      </c>
      <c r="G84" s="82" t="s">
        <v>289</v>
      </c>
      <c r="H84" s="21"/>
      <c r="I84" s="21"/>
      <c r="J84" s="21" t="s">
        <v>779</v>
      </c>
      <c r="K84" s="21">
        <v>25</v>
      </c>
      <c r="L84" s="22">
        <f>$K84/INDEX('Indicator Master'!$N$4:$N$24,MATCH($A84,'Indicator Master'!$A$4:$A$24,0))*'Risk Bands (Config)'!$B$5</f>
        <v>50</v>
      </c>
      <c r="M84" s="21">
        <f>IF($K84=INDEX('Indicator Master'!$N$4:$N$24,MATCH($A84,'Indicator Master'!$A$4:$A$24,0)),1,0)</f>
        <v>0</v>
      </c>
      <c r="N84" s="83"/>
      <c r="O84" s="82" t="s">
        <v>438</v>
      </c>
      <c r="P84" s="82" t="s">
        <v>439</v>
      </c>
      <c r="Q84" s="82" t="s">
        <v>217</v>
      </c>
      <c r="R84" s="84" t="str">
        <f t="shared" si="2"/>
        <v>CM-020|25</v>
      </c>
    </row>
    <row r="85" spans="1:18" ht="24" x14ac:dyDescent="0.35">
      <c r="A85" s="21" t="s">
        <v>164</v>
      </c>
      <c r="B85" s="82" t="s">
        <v>165</v>
      </c>
      <c r="C85" s="21" t="s">
        <v>15</v>
      </c>
      <c r="D85" s="82" t="s">
        <v>168</v>
      </c>
      <c r="E85" s="21">
        <v>4</v>
      </c>
      <c r="F85" s="82" t="s">
        <v>440</v>
      </c>
      <c r="G85" s="82" t="s">
        <v>289</v>
      </c>
      <c r="H85" s="21"/>
      <c r="I85" s="21"/>
      <c r="J85" s="21" t="s">
        <v>779</v>
      </c>
      <c r="K85" s="21">
        <v>50</v>
      </c>
      <c r="L85" s="22">
        <f>$K85/INDEX('Indicator Master'!$N$4:$N$24,MATCH($A85,'Indicator Master'!$A$4:$A$24,0))*'Risk Bands (Config)'!$B$5</f>
        <v>100</v>
      </c>
      <c r="M85" s="21">
        <f>IF($K85=INDEX('Indicator Master'!$N$4:$N$24,MATCH($A85,'Indicator Master'!$A$4:$A$24,0)),1,0)</f>
        <v>1</v>
      </c>
      <c r="N85" s="83"/>
      <c r="O85" s="82" t="s">
        <v>441</v>
      </c>
      <c r="P85" s="82" t="s">
        <v>442</v>
      </c>
      <c r="Q85" s="82" t="s">
        <v>443</v>
      </c>
      <c r="R85" s="84" t="str">
        <f t="shared" si="2"/>
        <v>CM-020|50</v>
      </c>
    </row>
    <row r="86" spans="1:18" ht="36" x14ac:dyDescent="0.35">
      <c r="A86" s="21" t="s">
        <v>171</v>
      </c>
      <c r="B86" s="82" t="s">
        <v>172</v>
      </c>
      <c r="C86" s="21" t="s">
        <v>15</v>
      </c>
      <c r="D86" s="82" t="s">
        <v>174</v>
      </c>
      <c r="E86" s="21">
        <v>1</v>
      </c>
      <c r="F86" s="82" t="s">
        <v>444</v>
      </c>
      <c r="G86" s="82" t="s">
        <v>259</v>
      </c>
      <c r="H86" s="21">
        <v>0</v>
      </c>
      <c r="I86" s="21">
        <v>0</v>
      </c>
      <c r="J86" s="21" t="s">
        <v>204</v>
      </c>
      <c r="K86" s="21">
        <v>0</v>
      </c>
      <c r="L86" s="22">
        <f>$K86/INDEX('Indicator Master'!$N$4:$N$24,MATCH($A86,'Indicator Master'!$A$4:$A$24,0))*'Risk Bands (Config)'!$B$5</f>
        <v>0</v>
      </c>
      <c r="M86" s="21">
        <f>IF($K86=INDEX('Indicator Master'!$N$4:$N$24,MATCH($A86,'Indicator Master'!$A$4:$A$24,0)),1,0)</f>
        <v>0</v>
      </c>
      <c r="N86" s="83"/>
      <c r="O86" s="82" t="s">
        <v>445</v>
      </c>
      <c r="P86" s="82" t="s">
        <v>206</v>
      </c>
      <c r="Q86" s="82" t="s">
        <v>207</v>
      </c>
      <c r="R86" s="84" t="str">
        <f t="shared" si="2"/>
        <v>CM-021|0</v>
      </c>
    </row>
    <row r="87" spans="1:18" ht="36" x14ac:dyDescent="0.35">
      <c r="A87" s="21" t="s">
        <v>171</v>
      </c>
      <c r="B87" s="82" t="s">
        <v>172</v>
      </c>
      <c r="C87" s="21" t="s">
        <v>15</v>
      </c>
      <c r="D87" s="82" t="s">
        <v>174</v>
      </c>
      <c r="E87" s="21">
        <v>2</v>
      </c>
      <c r="F87" s="82" t="s">
        <v>446</v>
      </c>
      <c r="G87" s="82" t="s">
        <v>259</v>
      </c>
      <c r="H87" s="21">
        <v>1</v>
      </c>
      <c r="I87" s="21">
        <v>1</v>
      </c>
      <c r="J87" s="21" t="s">
        <v>204</v>
      </c>
      <c r="K87" s="21">
        <v>5</v>
      </c>
      <c r="L87" s="22">
        <f>$K87/INDEX('Indicator Master'!$N$4:$N$24,MATCH($A87,'Indicator Master'!$A$4:$A$24,0))*'Risk Bands (Config)'!$B$5</f>
        <v>20</v>
      </c>
      <c r="M87" s="21">
        <f>IF($K87=INDEX('Indicator Master'!$N$4:$N$24,MATCH($A87,'Indicator Master'!$A$4:$A$24,0)),1,0)</f>
        <v>0</v>
      </c>
      <c r="N87" s="83"/>
      <c r="O87" s="82" t="s">
        <v>447</v>
      </c>
      <c r="P87" s="82" t="s">
        <v>448</v>
      </c>
      <c r="Q87" s="82" t="s">
        <v>213</v>
      </c>
      <c r="R87" s="84" t="str">
        <f t="shared" si="2"/>
        <v>CM-021|5</v>
      </c>
    </row>
    <row r="88" spans="1:18" ht="36" x14ac:dyDescent="0.35">
      <c r="A88" s="21" t="s">
        <v>171</v>
      </c>
      <c r="B88" s="82" t="s">
        <v>172</v>
      </c>
      <c r="C88" s="21" t="s">
        <v>15</v>
      </c>
      <c r="D88" s="82" t="s">
        <v>174</v>
      </c>
      <c r="E88" s="21">
        <v>3</v>
      </c>
      <c r="F88" s="82" t="s">
        <v>449</v>
      </c>
      <c r="G88" s="82" t="s">
        <v>259</v>
      </c>
      <c r="H88" s="21">
        <v>2</v>
      </c>
      <c r="I88" s="21">
        <v>2</v>
      </c>
      <c r="J88" s="21" t="s">
        <v>204</v>
      </c>
      <c r="K88" s="21">
        <v>15</v>
      </c>
      <c r="L88" s="22">
        <f>$K88/INDEX('Indicator Master'!$N$4:$N$24,MATCH($A88,'Indicator Master'!$A$4:$A$24,0))*'Risk Bands (Config)'!$B$5</f>
        <v>60</v>
      </c>
      <c r="M88" s="21">
        <f>IF($K88=INDEX('Indicator Master'!$N$4:$N$24,MATCH($A88,'Indicator Master'!$A$4:$A$24,0)),1,0)</f>
        <v>0</v>
      </c>
      <c r="N88" s="83"/>
      <c r="O88" s="82" t="s">
        <v>450</v>
      </c>
      <c r="P88" s="82" t="s">
        <v>451</v>
      </c>
      <c r="Q88" s="82" t="s">
        <v>217</v>
      </c>
      <c r="R88" s="84" t="str">
        <f t="shared" si="2"/>
        <v>CM-021|15</v>
      </c>
    </row>
    <row r="89" spans="1:18" ht="36" x14ac:dyDescent="0.35">
      <c r="A89" s="21" t="s">
        <v>171</v>
      </c>
      <c r="B89" s="82" t="s">
        <v>172</v>
      </c>
      <c r="C89" s="21" t="s">
        <v>15</v>
      </c>
      <c r="D89" s="82" t="s">
        <v>174</v>
      </c>
      <c r="E89" s="21">
        <v>4</v>
      </c>
      <c r="F89" s="82" t="s">
        <v>452</v>
      </c>
      <c r="G89" s="82" t="s">
        <v>271</v>
      </c>
      <c r="H89" s="21">
        <v>3</v>
      </c>
      <c r="I89" s="21"/>
      <c r="J89" s="21" t="s">
        <v>255</v>
      </c>
      <c r="K89" s="21">
        <v>25</v>
      </c>
      <c r="L89" s="22">
        <f>$K89/INDEX('Indicator Master'!$N$4:$N$24,MATCH($A89,'Indicator Master'!$A$4:$A$24,0))*'Risk Bands (Config)'!$B$5</f>
        <v>100</v>
      </c>
      <c r="M89" s="21">
        <f>IF($K89=INDEX('Indicator Master'!$N$4:$N$24,MATCH($A89,'Indicator Master'!$A$4:$A$24,0)),1,0)</f>
        <v>1</v>
      </c>
      <c r="N89" s="83"/>
      <c r="O89" s="82" t="s">
        <v>453</v>
      </c>
      <c r="P89" s="82" t="s">
        <v>454</v>
      </c>
      <c r="Q89" s="82" t="s">
        <v>227</v>
      </c>
      <c r="R89" s="84" t="str">
        <f t="shared" si="2"/>
        <v>CM-021|25</v>
      </c>
    </row>
  </sheetData>
  <autoFilter ref="A4:Q89" xr:uid="{00000000-0001-0000-0200-000000000000}"/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"/>
  <sheetViews>
    <sheetView zoomScaleNormal="100" workbookViewId="0">
      <pane ySplit="22" topLeftCell="A23" activePane="bottomLeft" state="frozen"/>
      <selection pane="bottomLeft" sqref="A1:P1"/>
    </sheetView>
  </sheetViews>
  <sheetFormatPr defaultColWidth="8.6328125" defaultRowHeight="14.5" x14ac:dyDescent="0.35"/>
  <cols>
    <col min="1" max="1" width="8" customWidth="1"/>
    <col min="2" max="2" width="26" customWidth="1"/>
    <col min="3" max="3" width="14" customWidth="1"/>
    <col min="4" max="4" width="8" customWidth="1"/>
    <col min="5" max="5" width="9" customWidth="1"/>
    <col min="6" max="6" width="12" customWidth="1"/>
    <col min="7" max="7" width="13" customWidth="1"/>
    <col min="8" max="8" width="34" customWidth="1"/>
    <col min="9" max="10" width="9" customWidth="1"/>
    <col min="11" max="11" width="11" customWidth="1"/>
    <col min="12" max="12" width="9" customWidth="1"/>
    <col min="13" max="13" width="13" hidden="1" customWidth="1"/>
    <col min="14" max="14" width="40" customWidth="1"/>
    <col min="15" max="15" width="54" customWidth="1"/>
    <col min="16" max="16" width="20" customWidth="1"/>
  </cols>
  <sheetData>
    <row r="1" spans="1:16" ht="30" customHeight="1" x14ac:dyDescent="0.35">
      <c r="A1" s="14" t="s">
        <v>455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25.5" customHeight="1" x14ac:dyDescent="0.35">
      <c r="A2" s="13" t="s">
        <v>456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15" customHeight="1" x14ac:dyDescent="0.35">
      <c r="A4" s="23" t="s">
        <v>457</v>
      </c>
      <c r="B4" s="24" t="s">
        <v>458</v>
      </c>
    </row>
    <row r="5" spans="1:16" ht="15" customHeight="1" x14ac:dyDescent="0.35">
      <c r="A5" s="23" t="s">
        <v>459</v>
      </c>
      <c r="B5" s="24" t="s">
        <v>460</v>
      </c>
    </row>
    <row r="7" spans="1:16" ht="15" customHeight="1" x14ac:dyDescent="0.35">
      <c r="A7" s="25" t="s">
        <v>461</v>
      </c>
      <c r="B7" s="26">
        <f>COUNTA($A$23:$A$43)</f>
        <v>21</v>
      </c>
    </row>
    <row r="8" spans="1:16" ht="15" customHeight="1" x14ac:dyDescent="0.35">
      <c r="A8" s="25" t="s">
        <v>462</v>
      </c>
      <c r="B8" s="26">
        <f>COUNTIF($F$23:$F$43,"Y")</f>
        <v>18</v>
      </c>
      <c r="C8" s="12" t="s">
        <v>463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ht="15" customHeight="1" x14ac:dyDescent="0.35">
      <c r="A9" s="25" t="s">
        <v>464</v>
      </c>
      <c r="B9" s="26">
        <f>SUM($J$23:$J$43)</f>
        <v>17</v>
      </c>
      <c r="C9" s="12" t="s">
        <v>465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15" customHeight="1" x14ac:dyDescent="0.35">
      <c r="A10" s="25" t="s">
        <v>466</v>
      </c>
      <c r="B10" s="26">
        <f>COUNTIFS($F$23:$F$43,"Y",$G$23:$G$43,"N")</f>
        <v>1</v>
      </c>
      <c r="C10" s="12" t="s">
        <v>467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5" customHeight="1" x14ac:dyDescent="0.35">
      <c r="A11" s="25" t="s">
        <v>468</v>
      </c>
      <c r="B11" s="26">
        <f>COUNTIF($F$23:$F$43,"N")</f>
        <v>3</v>
      </c>
    </row>
    <row r="12" spans="1:16" ht="15" customHeight="1" x14ac:dyDescent="0.35">
      <c r="A12" s="25" t="s">
        <v>469</v>
      </c>
      <c r="B12" s="27">
        <f>IF(B8=0,0,B9/B8*100)</f>
        <v>94.444444444444443</v>
      </c>
      <c r="C12" s="12" t="s">
        <v>470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ht="15" customHeight="1" x14ac:dyDescent="0.35">
      <c r="A13" s="25" t="s">
        <v>471</v>
      </c>
      <c r="B13" s="28">
        <f>SUM($K$23:$K$43)</f>
        <v>473.09523809523802</v>
      </c>
    </row>
    <row r="14" spans="1:16" ht="15" customHeight="1" x14ac:dyDescent="0.35">
      <c r="A14" s="25" t="s">
        <v>472</v>
      </c>
      <c r="B14" s="29">
        <f>IF(B9=0,0,B13/B9)</f>
        <v>27.829131652661061</v>
      </c>
      <c r="C14" s="12" t="s">
        <v>473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ht="15" customHeight="1" x14ac:dyDescent="0.35">
      <c r="A15" s="25" t="s">
        <v>474</v>
      </c>
      <c r="B15" s="26" t="str">
        <f>INDEX('Risk Bands (Config)'!$A$9:$A$13,MATCH(B14,'Risk Bands (Config)'!$D$9:$D$13,1))</f>
        <v>Yellow</v>
      </c>
      <c r="C15" s="12" t="s">
        <v>475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ht="15" customHeight="1" x14ac:dyDescent="0.35">
      <c r="A16" s="25" t="s">
        <v>476</v>
      </c>
      <c r="B16" s="30" t="str">
        <f>IF(SUM($L$23:$L$43)&gt;0,"YES","NO")</f>
        <v>NO</v>
      </c>
      <c r="C16" s="12" t="s">
        <v>477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ht="15" customHeight="1" x14ac:dyDescent="0.35">
      <c r="A17" s="23" t="s">
        <v>478</v>
      </c>
      <c r="B17" s="31" t="s">
        <v>479</v>
      </c>
    </row>
    <row r="18" spans="1:16" ht="15" customHeight="1" x14ac:dyDescent="0.35">
      <c r="A18" s="25" t="s">
        <v>480</v>
      </c>
      <c r="B18" s="32" t="str">
        <f>IF(B16="YES","CRITICAL (Override)",IF(B12&lt;'Risk Bands (Config)'!$B$16,"INSUFFICIENT DATA (band: "&amp;B15&amp;")",B15))</f>
        <v>Yellow</v>
      </c>
    </row>
    <row r="19" spans="1:16" ht="15" customHeight="1" x14ac:dyDescent="0.35">
      <c r="A19" s="25" t="s">
        <v>481</v>
      </c>
      <c r="B19" s="26" t="str">
        <f>IF(B16="YES",INDEX('Risk Bands (Config)'!$E$9:$E$13,5),IF(B12&lt;'Risk Bands (Config)'!$B$16,"Low data coverage — treat score as low-confidence; obtain missing data before acting.",INDEX('Risk Bands (Config)'!$E$9:$E$13,MATCH(B14,'Risk Bands (Config)'!$D$9:$D$13,1))))</f>
        <v>Early Deterioration / Monitor</v>
      </c>
    </row>
    <row r="20" spans="1:16" ht="15" customHeight="1" x14ac:dyDescent="0.35">
      <c r="A20" s="11" t="s">
        <v>482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2" spans="1:16" ht="39.75" customHeight="1" x14ac:dyDescent="0.35">
      <c r="A22" s="33" t="s">
        <v>0</v>
      </c>
      <c r="B22" s="33" t="s">
        <v>2</v>
      </c>
      <c r="C22" s="33" t="s">
        <v>1</v>
      </c>
      <c r="D22" s="33" t="s">
        <v>483</v>
      </c>
      <c r="E22" s="33" t="s">
        <v>13</v>
      </c>
      <c r="F22" s="33" t="s">
        <v>484</v>
      </c>
      <c r="G22" s="33" t="s">
        <v>485</v>
      </c>
      <c r="H22" s="33" t="s">
        <v>486</v>
      </c>
      <c r="I22" s="33" t="s">
        <v>194</v>
      </c>
      <c r="J22" s="33" t="s">
        <v>487</v>
      </c>
      <c r="K22" s="33" t="s">
        <v>488</v>
      </c>
      <c r="L22" s="33" t="s">
        <v>489</v>
      </c>
      <c r="M22" s="33" t="s">
        <v>490</v>
      </c>
      <c r="N22" s="33" t="s">
        <v>198</v>
      </c>
      <c r="O22" s="33" t="s">
        <v>199</v>
      </c>
      <c r="P22" s="33" t="s">
        <v>200</v>
      </c>
    </row>
    <row r="23" spans="1:16" ht="63.75" customHeight="1" x14ac:dyDescent="0.35">
      <c r="A23" s="20" t="s">
        <v>14</v>
      </c>
      <c r="B23" s="18" t="s">
        <v>16</v>
      </c>
      <c r="C23" s="17" t="s">
        <v>15</v>
      </c>
      <c r="D23" s="21" t="str">
        <f>INDEX('Indicator Master'!$F$4:$F$24,MATCH($A23,'Indicator Master'!$A$4:$A$24,0))</f>
        <v>No</v>
      </c>
      <c r="E23" s="20">
        <f>INDEX('Indicator Master'!$N$4:$N$24,MATCH($A23,'Indicator Master'!$A$4:$A$24,0))</f>
        <v>40</v>
      </c>
      <c r="F23" s="34" t="s">
        <v>491</v>
      </c>
      <c r="G23" s="34" t="s">
        <v>491</v>
      </c>
      <c r="H23" s="35" t="s">
        <v>492</v>
      </c>
      <c r="I23" s="34">
        <v>10</v>
      </c>
      <c r="J23" s="21">
        <f t="shared" ref="J23:J43" si="0">IF(AND($F23="Y",$G23="Y",ISNUMBER($I23)),1,0)</f>
        <v>1</v>
      </c>
      <c r="K23" s="36">
        <f>IF($J23=1,$I23/$E23*'Risk Bands (Config)'!$B$5,"")</f>
        <v>25</v>
      </c>
      <c r="L23" s="21">
        <f>IF(AND($D23="Yes",$J23=1,$I23/$E23*'Risk Bands (Config)'!$B$5&gt;='Risk Bands (Config)'!$B$6),1,0)</f>
        <v>0</v>
      </c>
      <c r="M23" s="37" t="str">
        <f t="shared" ref="M23:M43" si="1">IF($L23=1,$A23,"")</f>
        <v/>
      </c>
      <c r="N23" s="18" t="str">
        <f>IF($J23=1,IFERROR(INDEX('Scoring Engine (Rules)'!$O$5:$O$89,MATCH($A23&amp;"|"&amp;$I23,'Scoring Engine (Rules)'!$R$5:$R$89,0)),""),"")</f>
        <v>Early warning — 1–30 days past due (SMA-0); a short cash-flow slip.</v>
      </c>
      <c r="O23" s="18" t="str">
        <f>IF($J23=1,IFERROR(INDEX('Scoring Engine (Rules)'!$P$5:$P$89,MATCH($A23&amp;"|"&amp;$I23,'Scoring Engine (Rules)'!$R$5:$R$89,0)),""),"")</f>
        <v>1) Contact the borrower; obtain the reason and a dated payment commitment. 2) Tag SMA-0. 3) Watch daily.</v>
      </c>
      <c r="P23" s="18" t="str">
        <f>IF($J23=1,IFERROR(INDEX('Scoring Engine (Rules)'!$Q$5:$Q$89,MATCH($A23&amp;"|"&amp;$I23,'Scoring Engine (Rules)'!$R$5:$R$89,0)),""),"")</f>
        <v>Relationship Manager (Branch)</v>
      </c>
    </row>
    <row r="24" spans="1:16" ht="63.75" customHeight="1" x14ac:dyDescent="0.35">
      <c r="A24" s="20" t="s">
        <v>27</v>
      </c>
      <c r="B24" s="18" t="s">
        <v>28</v>
      </c>
      <c r="C24" s="17" t="s">
        <v>15</v>
      </c>
      <c r="D24" s="21" t="str">
        <f>INDEX('Indicator Master'!$F$4:$F$24,MATCH($A24,'Indicator Master'!$A$4:$A$24,0))</f>
        <v>No</v>
      </c>
      <c r="E24" s="20">
        <f>INDEX('Indicator Master'!$N$4:$N$24,MATCH($A24,'Indicator Master'!$A$4:$A$24,0))</f>
        <v>30</v>
      </c>
      <c r="F24" s="34" t="s">
        <v>491</v>
      </c>
      <c r="G24" s="34" t="s">
        <v>491</v>
      </c>
      <c r="H24" s="35" t="s">
        <v>493</v>
      </c>
      <c r="I24" s="34">
        <v>10</v>
      </c>
      <c r="J24" s="21">
        <f t="shared" si="0"/>
        <v>1</v>
      </c>
      <c r="K24" s="36">
        <f>IF($J24=1,$I24/$E24*'Risk Bands (Config)'!$B$5,"")</f>
        <v>33.333333333333329</v>
      </c>
      <c r="L24" s="21">
        <f>IF(AND($D24="Yes",$J24=1,$I24/$E24*'Risk Bands (Config)'!$B$5&gt;='Risk Bands (Config)'!$B$6),1,0)</f>
        <v>0</v>
      </c>
      <c r="M24" s="37" t="str">
        <f t="shared" si="1"/>
        <v/>
      </c>
      <c r="N24" s="18" t="str">
        <f>IF($J24=1,IFERROR(INDEX('Scoring Engine (Rules)'!$O$5:$O$89,MATCH($A24&amp;"|"&amp;$I24,'Scoring Engine (Rules)'!$R$5:$R$89,0)),""),"")</f>
        <v>Early warning — excess up to 5%; minor, likely a timing over-draw.</v>
      </c>
      <c r="O24" s="18" t="str">
        <f>IF($J24=1,IFERROR(INDEX('Scoring Engine (Rules)'!$P$5:$P$89,MATCH($A24&amp;"|"&amp;$I24,'Scoring Engine (Rules)'!$R$5:$R$89,0)),""),"")</f>
        <v>1) Regularise the excess promptly. 2) Ascertain the reason. 3) Allow no fresh excess.</v>
      </c>
      <c r="P24" s="18" t="str">
        <f>IF($J24=1,IFERROR(INDEX('Scoring Engine (Rules)'!$Q$5:$Q$89,MATCH($A24&amp;"|"&amp;$I24,'Scoring Engine (Rules)'!$R$5:$R$89,0)),""),"")</f>
        <v>RM + Credit Analyst</v>
      </c>
    </row>
    <row r="25" spans="1:16" ht="63.75" customHeight="1" x14ac:dyDescent="0.35">
      <c r="A25" s="20" t="s">
        <v>33</v>
      </c>
      <c r="B25" s="18" t="s">
        <v>34</v>
      </c>
      <c r="C25" s="17" t="s">
        <v>15</v>
      </c>
      <c r="D25" s="21" t="str">
        <f>INDEX('Indicator Master'!$F$4:$F$24,MATCH($A25,'Indicator Master'!$A$4:$A$24,0))</f>
        <v>No</v>
      </c>
      <c r="E25" s="20">
        <f>INDEX('Indicator Master'!$N$4:$N$24,MATCH($A25,'Indicator Master'!$A$4:$A$24,0))</f>
        <v>35</v>
      </c>
      <c r="F25" s="34" t="s">
        <v>491</v>
      </c>
      <c r="G25" s="34" t="s">
        <v>491</v>
      </c>
      <c r="H25" s="35" t="s">
        <v>494</v>
      </c>
      <c r="I25" s="34">
        <v>20</v>
      </c>
      <c r="J25" s="21">
        <f t="shared" si="0"/>
        <v>1</v>
      </c>
      <c r="K25" s="36">
        <f>IF($J25=1,$I25/$E25*'Risk Bands (Config)'!$B$5,"")</f>
        <v>57.142857142857139</v>
      </c>
      <c r="L25" s="21">
        <f>IF(AND($D25="Yes",$J25=1,$I25/$E25*'Risk Bands (Config)'!$B$5&gt;='Risk Bands (Config)'!$B$6),1,0)</f>
        <v>0</v>
      </c>
      <c r="M25" s="37" t="str">
        <f t="shared" si="1"/>
        <v/>
      </c>
      <c r="N25" s="18" t="str">
        <f>IF($J25=1,IFERROR(INDEX('Scoring Engine (Rules)'!$O$5:$O$89,MATCH($A25&amp;"|"&amp;$I25,'Scoring Engine (Rules)'!$R$5:$R$89,0)),""),"")</f>
        <v>Elevated concern — down 20–40%; material fall — demand loss or diversion of billing.</v>
      </c>
      <c r="O25" s="18" t="str">
        <f>IF($J25=1,IFERROR(INDEX('Scoring Engine (Rules)'!$P$5:$P$89,MATCH($A25&amp;"|"&amp;$I25,'Scoring Engine (Rules)'!$R$5:$R$89,0)),""),"")</f>
        <v>1) Reassess WC and projections. 2) Investigate under-reporting/diversion. 3) Enhanced monitoring; flag to Credit.</v>
      </c>
      <c r="P25" s="18" t="str">
        <f>IF($J25=1,IFERROR(INDEX('Scoring Engine (Rules)'!$Q$5:$Q$89,MATCH($A25&amp;"|"&amp;$I25,'Scoring Engine (Rules)'!$R$5:$R$89,0)),""),"")</f>
        <v>RM + Credit Analyst</v>
      </c>
    </row>
    <row r="26" spans="1:16" ht="63.75" customHeight="1" x14ac:dyDescent="0.35">
      <c r="A26" s="20" t="s">
        <v>43</v>
      </c>
      <c r="B26" s="18" t="s">
        <v>44</v>
      </c>
      <c r="C26" s="17" t="s">
        <v>15</v>
      </c>
      <c r="D26" s="21" t="str">
        <f>INDEX('Indicator Master'!$F$4:$F$24,MATCH($A26,'Indicator Master'!$A$4:$A$24,0))</f>
        <v>No</v>
      </c>
      <c r="E26" s="20">
        <f>INDEX('Indicator Master'!$N$4:$N$24,MATCH($A26,'Indicator Master'!$A$4:$A$24,0))</f>
        <v>40</v>
      </c>
      <c r="F26" s="34" t="s">
        <v>491</v>
      </c>
      <c r="G26" s="34" t="s">
        <v>491</v>
      </c>
      <c r="H26" s="35" t="s">
        <v>495</v>
      </c>
      <c r="I26" s="34">
        <v>15</v>
      </c>
      <c r="J26" s="21">
        <f t="shared" si="0"/>
        <v>1</v>
      </c>
      <c r="K26" s="36">
        <f>IF($J26=1,$I26/$E26*'Risk Bands (Config)'!$B$5,"")</f>
        <v>37.5</v>
      </c>
      <c r="L26" s="21">
        <f>IF(AND($D26="Yes",$J26=1,$I26/$E26*'Risk Bands (Config)'!$B$5&gt;='Risk Bands (Config)'!$B$6),1,0)</f>
        <v>0</v>
      </c>
      <c r="M26" s="37" t="str">
        <f t="shared" si="1"/>
        <v/>
      </c>
      <c r="N26" s="18" t="str">
        <f>IF($J26=1,IFERROR(INDEX('Scoring Engine (Rules)'!$O$5:$O$89,MATCH($A26&amp;"|"&amp;$I26,'Scoring Engine (Rules)'!$R$5:$R$89,0)),""),"")</f>
        <v>Elevated concern — one negative CFO period; isolated — watch for persistence.</v>
      </c>
      <c r="O26" s="18" t="str">
        <f>IF($J26=1,IFERROR(INDEX('Scoring Engine (Rules)'!$P$5:$P$89,MATCH($A26&amp;"|"&amp;$I26,'Scoring Engine (Rules)'!$R$5:$R$89,0)),""),"")</f>
        <v>1) Analyse the CFO driver (WC swing vs loss). 2) Obtain an explanation. 3) Monitor next period.</v>
      </c>
      <c r="P26" s="18" t="str">
        <f>IF($J26=1,IFERROR(INDEX('Scoring Engine (Rules)'!$Q$5:$Q$89,MATCH($A26&amp;"|"&amp;$I26,'Scoring Engine (Rules)'!$R$5:$R$89,0)),""),"")</f>
        <v>RM + Credit Analyst</v>
      </c>
    </row>
    <row r="27" spans="1:16" ht="63.75" customHeight="1" x14ac:dyDescent="0.35">
      <c r="A27" s="20" t="s">
        <v>52</v>
      </c>
      <c r="B27" s="18" t="s">
        <v>53</v>
      </c>
      <c r="C27" s="17" t="s">
        <v>15</v>
      </c>
      <c r="D27" s="21" t="str">
        <f>INDEX('Indicator Master'!$F$4:$F$24,MATCH($A27,'Indicator Master'!$A$4:$A$24,0))</f>
        <v>No</v>
      </c>
      <c r="E27" s="20">
        <f>INDEX('Indicator Master'!$N$4:$N$24,MATCH($A27,'Indicator Master'!$A$4:$A$24,0))</f>
        <v>35</v>
      </c>
      <c r="F27" s="34" t="s">
        <v>491</v>
      </c>
      <c r="G27" s="34" t="s">
        <v>491</v>
      </c>
      <c r="H27" s="35" t="s">
        <v>496</v>
      </c>
      <c r="I27" s="34">
        <v>20</v>
      </c>
      <c r="J27" s="21">
        <f t="shared" si="0"/>
        <v>1</v>
      </c>
      <c r="K27" s="36">
        <f>IF($J27=1,$I27/$E27*'Risk Bands (Config)'!$B$5,"")</f>
        <v>57.142857142857139</v>
      </c>
      <c r="L27" s="21">
        <f>IF(AND($D27="Yes",$J27=1,$I27/$E27*'Risk Bands (Config)'!$B$5&gt;='Risk Bands (Config)'!$B$6),1,0)</f>
        <v>0</v>
      </c>
      <c r="M27" s="37" t="str">
        <f t="shared" si="1"/>
        <v/>
      </c>
      <c r="N27" s="18" t="str">
        <f>IF($J27=1,IFERROR(INDEX('Scoring Engine (Rules)'!$O$5:$O$89,MATCH($A27&amp;"|"&amp;$I27,'Scoring Engine (Rules)'!$R$5:$R$89,0)),""),"")</f>
        <v>Elevated concern — current ratio 1.00–1.09; thin liquidity buffer.</v>
      </c>
      <c r="O27" s="18" t="str">
        <f>IF($J27=1,IFERROR(INDEX('Scoring Engine (Rules)'!$P$5:$P$89,MATCH($A27&amp;"|"&amp;$I27,'Scoring Engine (Rules)'!$R$5:$R$89,0)),""),"")</f>
        <v>1) Assess NWC adequacy; seek promoter infusion. 2) Enhanced monitoring. 3) Flag to Credit.</v>
      </c>
      <c r="P27" s="18" t="str">
        <f>IF($J27=1,IFERROR(INDEX('Scoring Engine (Rules)'!$Q$5:$Q$89,MATCH($A27&amp;"|"&amp;$I27,'Scoring Engine (Rules)'!$R$5:$R$89,0)),""),"")</f>
        <v>RM + Credit Analyst</v>
      </c>
    </row>
    <row r="28" spans="1:16" ht="63.75" customHeight="1" x14ac:dyDescent="0.35">
      <c r="A28" s="20" t="s">
        <v>58</v>
      </c>
      <c r="B28" s="18" t="s">
        <v>59</v>
      </c>
      <c r="C28" s="17" t="s">
        <v>15</v>
      </c>
      <c r="D28" s="21" t="str">
        <f>INDEX('Indicator Master'!$F$4:$F$24,MATCH($A28,'Indicator Master'!$A$4:$A$24,0))</f>
        <v>No</v>
      </c>
      <c r="E28" s="20">
        <f>INDEX('Indicator Master'!$N$4:$N$24,MATCH($A28,'Indicator Master'!$A$4:$A$24,0))</f>
        <v>40</v>
      </c>
      <c r="F28" s="34" t="s">
        <v>491</v>
      </c>
      <c r="G28" s="34" t="s">
        <v>491</v>
      </c>
      <c r="H28" s="35" t="s">
        <v>497</v>
      </c>
      <c r="I28" s="34">
        <v>0</v>
      </c>
      <c r="J28" s="21">
        <f t="shared" si="0"/>
        <v>1</v>
      </c>
      <c r="K28" s="36">
        <f>IF($J28=1,$I28/$E28*'Risk Bands (Config)'!$B$5,"")</f>
        <v>0</v>
      </c>
      <c r="L28" s="21">
        <f>IF(AND($D28="Yes",$J28=1,$I28/$E28*'Risk Bands (Config)'!$B$5&gt;='Risk Bands (Config)'!$B$6),1,0)</f>
        <v>0</v>
      </c>
      <c r="M28" s="37" t="str">
        <f t="shared" si="1"/>
        <v/>
      </c>
      <c r="N28" s="18" t="str">
        <f>IF($J28=1,IFERROR(INDEX('Scoring Engine (Rules)'!$O$5:$O$89,MATCH($A28&amp;"|"&amp;$I28,'Scoring Engine (Rules)'!$R$5:$R$89,0)),""),"")</f>
        <v>Normal — clean audit opinion; reliable reporting.</v>
      </c>
      <c r="O28" s="18" t="str">
        <f>IF($J28=1,IFERROR(INDEX('Scoring Engine (Rules)'!$P$5:$P$89,MATCH($A28&amp;"|"&amp;$I28,'Scoring Engine (Rules)'!$R$5:$R$89,0)),""),"")</f>
        <v>No remedial action required. Continue routine monitoring at the standard review cycle and record the reading.</v>
      </c>
      <c r="P28" s="18" t="str">
        <f>IF($J28=1,IFERROR(INDEX('Scoring Engine (Rules)'!$Q$5:$Q$89,MATCH($A28&amp;"|"&amp;$I28,'Scoring Engine (Rules)'!$R$5:$R$89,0)),""),"")</f>
        <v>RM (routine)</v>
      </c>
    </row>
    <row r="29" spans="1:16" ht="63.75" customHeight="1" x14ac:dyDescent="0.35">
      <c r="A29" s="20" t="s">
        <v>69</v>
      </c>
      <c r="B29" s="18" t="s">
        <v>70</v>
      </c>
      <c r="C29" s="17" t="s">
        <v>15</v>
      </c>
      <c r="D29" s="21" t="str">
        <f>INDEX('Indicator Master'!$F$4:$F$24,MATCH($A29,'Indicator Master'!$A$4:$A$24,0))</f>
        <v>No</v>
      </c>
      <c r="E29" s="20">
        <f>INDEX('Indicator Master'!$N$4:$N$24,MATCH($A29,'Indicator Master'!$A$4:$A$24,0))</f>
        <v>50</v>
      </c>
      <c r="F29" s="34" t="s">
        <v>491</v>
      </c>
      <c r="G29" s="34" t="s">
        <v>491</v>
      </c>
      <c r="H29" s="35" t="s">
        <v>498</v>
      </c>
      <c r="I29" s="34">
        <v>0</v>
      </c>
      <c r="J29" s="21">
        <f t="shared" si="0"/>
        <v>1</v>
      </c>
      <c r="K29" s="36">
        <f>IF($J29=1,$I29/$E29*'Risk Bands (Config)'!$B$5,"")</f>
        <v>0</v>
      </c>
      <c r="L29" s="21">
        <f>IF(AND($D29="Yes",$J29=1,$I29/$E29*'Risk Bands (Config)'!$B$5&gt;='Risk Bands (Config)'!$B$6),1,0)</f>
        <v>0</v>
      </c>
      <c r="M29" s="37" t="str">
        <f t="shared" si="1"/>
        <v/>
      </c>
      <c r="N29" s="18" t="str">
        <f>IF($J29=1,IFERROR(INDEX('Scoring Engine (Rules)'!$O$5:$O$89,MATCH($A29&amp;"|"&amp;$I29,'Scoring Engine (Rules)'!$R$5:$R$89,0)),""),"")</f>
        <v>Normal — no insolvency/legal proceedings; clean status.</v>
      </c>
      <c r="O29" s="18" t="str">
        <f>IF($J29=1,IFERROR(INDEX('Scoring Engine (Rules)'!$P$5:$P$89,MATCH($A29&amp;"|"&amp;$I29,'Scoring Engine (Rules)'!$R$5:$R$89,0)),""),"")</f>
        <v>No remedial action required. Continue routine monitoring at the standard review cycle and record the reading.</v>
      </c>
      <c r="P29" s="18" t="str">
        <f>IF($J29=1,IFERROR(INDEX('Scoring Engine (Rules)'!$Q$5:$Q$89,MATCH($A29&amp;"|"&amp;$I29,'Scoring Engine (Rules)'!$R$5:$R$89,0)),""),"")</f>
        <v>RM (routine)</v>
      </c>
    </row>
    <row r="30" spans="1:16" ht="63.75" customHeight="1" x14ac:dyDescent="0.35">
      <c r="A30" s="20" t="s">
        <v>79</v>
      </c>
      <c r="B30" s="18" t="s">
        <v>80</v>
      </c>
      <c r="C30" s="17" t="s">
        <v>15</v>
      </c>
      <c r="D30" s="21" t="str">
        <f>INDEX('Indicator Master'!$F$4:$F$24,MATCH($A30,'Indicator Master'!$A$4:$A$24,0))</f>
        <v>No</v>
      </c>
      <c r="E30" s="20">
        <f>INDEX('Indicator Master'!$N$4:$N$24,MATCH($A30,'Indicator Master'!$A$4:$A$24,0))</f>
        <v>40</v>
      </c>
      <c r="F30" s="34" t="s">
        <v>491</v>
      </c>
      <c r="G30" s="34" t="s">
        <v>491</v>
      </c>
      <c r="H30" s="35" t="s">
        <v>499</v>
      </c>
      <c r="I30" s="34">
        <v>15</v>
      </c>
      <c r="J30" s="21">
        <f t="shared" si="0"/>
        <v>1</v>
      </c>
      <c r="K30" s="36">
        <f>IF($J30=1,$I30/$E30*'Risk Bands (Config)'!$B$5,"")</f>
        <v>37.5</v>
      </c>
      <c r="L30" s="21">
        <f>IF(AND($D30="Yes",$J30=1,$I30/$E30*'Risk Bands (Config)'!$B$5&gt;='Risk Bands (Config)'!$B$6),1,0)</f>
        <v>0</v>
      </c>
      <c r="M30" s="37" t="str">
        <f t="shared" si="1"/>
        <v/>
      </c>
      <c r="N30" s="18" t="str">
        <f>IF($J30=1,IFERROR(INDEX('Scoring Engine (Rules)'!$O$5:$O$89,MATCH($A30&amp;"|"&amp;$I30,'Scoring Engine (Rules)'!$R$5:$R$89,0)),""),"")</f>
        <v>Elevated concern — an informal restructuring/moratorium enquiry; early stress signal.</v>
      </c>
      <c r="O30" s="18" t="str">
        <f>IF($J30=1,IFERROR(INDEX('Scoring Engine (Rules)'!$P$5:$P$89,MATCH($A30&amp;"|"&amp;$I30,'Scoring Engine (Rules)'!$R$5:$R$89,0)),""),"")</f>
        <v>1) Obtain the rationale; assess genuine stress vs willful. 2) Seek cash-flow data. 3) Monitor.</v>
      </c>
      <c r="P30" s="18" t="str">
        <f>IF($J30=1,IFERROR(INDEX('Scoring Engine (Rules)'!$Q$5:$Q$89,MATCH($A30&amp;"|"&amp;$I30,'Scoring Engine (Rules)'!$R$5:$R$89,0)),""),"")</f>
        <v>RM + Credit Analyst</v>
      </c>
    </row>
    <row r="31" spans="1:16" ht="63.75" customHeight="1" x14ac:dyDescent="0.35">
      <c r="A31" s="20" t="s">
        <v>87</v>
      </c>
      <c r="B31" s="18" t="s">
        <v>88</v>
      </c>
      <c r="C31" s="17" t="s">
        <v>15</v>
      </c>
      <c r="D31" s="21" t="str">
        <f>INDEX('Indicator Master'!$F$4:$F$24,MATCH($A31,'Indicator Master'!$A$4:$A$24,0))</f>
        <v>No</v>
      </c>
      <c r="E31" s="20">
        <f>INDEX('Indicator Master'!$N$4:$N$24,MATCH($A31,'Indicator Master'!$A$4:$A$24,0))</f>
        <v>40</v>
      </c>
      <c r="F31" s="34" t="s">
        <v>491</v>
      </c>
      <c r="G31" s="34" t="s">
        <v>491</v>
      </c>
      <c r="H31" s="35" t="s">
        <v>500</v>
      </c>
      <c r="I31" s="34">
        <v>15</v>
      </c>
      <c r="J31" s="21">
        <f t="shared" si="0"/>
        <v>1</v>
      </c>
      <c r="K31" s="36">
        <f>IF($J31=1,$I31/$E31*'Risk Bands (Config)'!$B$5,"")</f>
        <v>37.5</v>
      </c>
      <c r="L31" s="21">
        <f>IF(AND($D31="Yes",$J31=1,$I31/$E31*'Risk Bands (Config)'!$B$5&gt;='Risk Bands (Config)'!$B$6),1,0)</f>
        <v>0</v>
      </c>
      <c r="M31" s="37" t="str">
        <f t="shared" si="1"/>
        <v/>
      </c>
      <c r="N31" s="18" t="str">
        <f>IF($J31=1,IFERROR(INDEX('Scoring Engine (Rules)'!$O$5:$O$89,MATCH($A31&amp;"|"&amp;$I31,'Scoring Engine (Rules)'!$R$5:$R$89,0)),""),"")</f>
        <v>Elevated concern — a minor shortfall or lapse in cover; top-up needed.</v>
      </c>
      <c r="O31" s="18" t="str">
        <f>IF($J31=1,IFERROR(INDEX('Scoring Engine (Rules)'!$P$5:$P$89,MATCH($A31&amp;"|"&amp;$I31,'Scoring Engine (Rules)'!$R$5:$R$89,0)),""),"")</f>
        <v>1) Revalue security; seek a top-up. 2) Adjust DP to available cover. 3) Monitor to closure.</v>
      </c>
      <c r="P31" s="18" t="str">
        <f>IF($J31=1,IFERROR(INDEX('Scoring Engine (Rules)'!$Q$5:$Q$89,MATCH($A31&amp;"|"&amp;$I31,'Scoring Engine (Rules)'!$R$5:$R$89,0)),""),"")</f>
        <v>RM + Credit Analyst</v>
      </c>
    </row>
    <row r="32" spans="1:16" ht="63.75" customHeight="1" x14ac:dyDescent="0.35">
      <c r="A32" s="20" t="s">
        <v>96</v>
      </c>
      <c r="B32" s="18" t="s">
        <v>97</v>
      </c>
      <c r="C32" s="17" t="s">
        <v>15</v>
      </c>
      <c r="D32" s="21" t="str">
        <f>INDEX('Indicator Master'!$F$4:$F$24,MATCH($A32,'Indicator Master'!$A$4:$A$24,0))</f>
        <v>No</v>
      </c>
      <c r="E32" s="20">
        <f>INDEX('Indicator Master'!$N$4:$N$24,MATCH($A32,'Indicator Master'!$A$4:$A$24,0))</f>
        <v>40</v>
      </c>
      <c r="F32" s="34" t="s">
        <v>491</v>
      </c>
      <c r="G32" s="34" t="s">
        <v>491</v>
      </c>
      <c r="H32" s="35" t="s">
        <v>501</v>
      </c>
      <c r="I32" s="34">
        <v>15</v>
      </c>
      <c r="J32" s="21">
        <f t="shared" si="0"/>
        <v>1</v>
      </c>
      <c r="K32" s="36">
        <f>IF($J32=1,$I32/$E32*'Risk Bands (Config)'!$B$5,"")</f>
        <v>37.5</v>
      </c>
      <c r="L32" s="21">
        <f>IF(AND($D32="Yes",$J32=1,$I32/$E32*'Risk Bands (Config)'!$B$5&gt;='Risk Bands (Config)'!$B$6),1,0)</f>
        <v>0</v>
      </c>
      <c r="M32" s="37" t="str">
        <f t="shared" si="1"/>
        <v/>
      </c>
      <c r="N32" s="18" t="str">
        <f>IF($J32=1,IFERROR(INDEX('Scoring Engine (Rules)'!$O$5:$O$89,MATCH($A32&amp;"|"&amp;$I32,'Scoring Engine (Rules)'!$R$5:$R$89,0)),""),"")</f>
        <v>Elevated concern — a minor lapse or approaching expiry; renewal needed.</v>
      </c>
      <c r="O32" s="18" t="str">
        <f>IF($J32=1,IFERROR(INDEX('Scoring Engine (Rules)'!$P$5:$P$89,MATCH($A32&amp;"|"&amp;$I32,'Scoring Engine (Rules)'!$R$5:$R$89,0)),""),"")</f>
        <v>1) Follow up for renewal with the bank clause; note the expiry. 2) Obtain the policy. 3) Monitor.</v>
      </c>
      <c r="P32" s="18" t="str">
        <f>IF($J32=1,IFERROR(INDEX('Scoring Engine (Rules)'!$Q$5:$Q$89,MATCH($A32&amp;"|"&amp;$I32,'Scoring Engine (Rules)'!$R$5:$R$89,0)),""),"")</f>
        <v>RM + Credit Analyst</v>
      </c>
    </row>
    <row r="33" spans="1:16" ht="63.75" customHeight="1" x14ac:dyDescent="0.35">
      <c r="A33" s="20" t="s">
        <v>103</v>
      </c>
      <c r="B33" s="18" t="s">
        <v>104</v>
      </c>
      <c r="C33" s="17" t="s">
        <v>15</v>
      </c>
      <c r="D33" s="21" t="str">
        <f>INDEX('Indicator Master'!$F$4:$F$24,MATCH($A33,'Indicator Master'!$A$4:$A$24,0))</f>
        <v>No</v>
      </c>
      <c r="E33" s="20">
        <f>INDEX('Indicator Master'!$N$4:$N$24,MATCH($A33,'Indicator Master'!$A$4:$A$24,0))</f>
        <v>30</v>
      </c>
      <c r="F33" s="34" t="s">
        <v>491</v>
      </c>
      <c r="G33" s="34" t="s">
        <v>491</v>
      </c>
      <c r="H33" s="35" t="s">
        <v>502</v>
      </c>
      <c r="I33" s="34">
        <v>10</v>
      </c>
      <c r="J33" s="21">
        <f t="shared" si="0"/>
        <v>1</v>
      </c>
      <c r="K33" s="36">
        <f>IF($J33=1,$I33/$E33*'Risk Bands (Config)'!$B$5,"")</f>
        <v>33.333333333333329</v>
      </c>
      <c r="L33" s="21">
        <f>IF(AND($D33="Yes",$J33=1,$I33/$E33*'Risk Bands (Config)'!$B$5&gt;='Risk Bands (Config)'!$B$6),1,0)</f>
        <v>0</v>
      </c>
      <c r="M33" s="37" t="str">
        <f t="shared" si="1"/>
        <v/>
      </c>
      <c r="N33" s="18" t="str">
        <f>IF($J33=1,IFERROR(INDEX('Scoring Engine (Rules)'!$O$5:$O$89,MATCH($A33&amp;"|"&amp;$I33,'Scoring Engine (Rules)'!$R$5:$R$89,0)),""),"")</f>
        <v>Early warning — concentration 25–40%; moderate dependence on a key customer.</v>
      </c>
      <c r="O33" s="18" t="str">
        <f>IF($J33=1,IFERROR(INDEX('Scoring Engine (Rules)'!$P$5:$P$89,MATCH($A33&amp;"|"&amp;$I33,'Scoring Engine (Rules)'!$R$5:$R$89,0)),""),"")</f>
        <v>1) Review the customer mix. 2) Encourage diversification. 3) Monitor the key customer's health.</v>
      </c>
      <c r="P33" s="18" t="str">
        <f>IF($J33=1,IFERROR(INDEX('Scoring Engine (Rules)'!$Q$5:$Q$89,MATCH($A33&amp;"|"&amp;$I33,'Scoring Engine (Rules)'!$R$5:$R$89,0)),""),"")</f>
        <v>RM + Credit Analyst</v>
      </c>
    </row>
    <row r="34" spans="1:16" ht="63.75" customHeight="1" x14ac:dyDescent="0.35">
      <c r="A34" s="20" t="s">
        <v>111</v>
      </c>
      <c r="B34" s="18" t="s">
        <v>112</v>
      </c>
      <c r="C34" s="17" t="s">
        <v>15</v>
      </c>
      <c r="D34" s="21" t="str">
        <f>INDEX('Indicator Master'!$F$4:$F$24,MATCH($A34,'Indicator Master'!$A$4:$A$24,0))</f>
        <v>No</v>
      </c>
      <c r="E34" s="20">
        <f>INDEX('Indicator Master'!$N$4:$N$24,MATCH($A34,'Indicator Master'!$A$4:$A$24,0))</f>
        <v>30</v>
      </c>
      <c r="F34" s="34" t="s">
        <v>491</v>
      </c>
      <c r="G34" s="34" t="s">
        <v>491</v>
      </c>
      <c r="H34" s="35" t="s">
        <v>503</v>
      </c>
      <c r="I34" s="34">
        <v>0</v>
      </c>
      <c r="J34" s="21">
        <f t="shared" si="0"/>
        <v>1</v>
      </c>
      <c r="K34" s="36">
        <f>IF($J34=1,$I34/$E34*'Risk Bands (Config)'!$B$5,"")</f>
        <v>0</v>
      </c>
      <c r="L34" s="21">
        <f>IF(AND($D34="Yes",$J34=1,$I34/$E34*'Risk Bands (Config)'!$B$5&gt;='Risk Bands (Config)'!$B$6),1,0)</f>
        <v>0</v>
      </c>
      <c r="M34" s="37" t="str">
        <f t="shared" si="1"/>
        <v/>
      </c>
      <c r="N34" s="18" t="str">
        <f>IF($J34=1,IFERROR(INDEX('Scoring Engine (Rules)'!$O$5:$O$89,MATCH($A34&amp;"|"&amp;$I34,'Scoring Engine (Rules)'!$R$5:$R$89,0)),""),"")</f>
        <v>Normal — top-supplier concentration below 25%; diversified sourcing.</v>
      </c>
      <c r="O34" s="18" t="str">
        <f>IF($J34=1,IFERROR(INDEX('Scoring Engine (Rules)'!$P$5:$P$89,MATCH($A34&amp;"|"&amp;$I34,'Scoring Engine (Rules)'!$R$5:$R$89,0)),""),"")</f>
        <v>No remedial action required. Continue routine monitoring at the standard review cycle and record the reading.</v>
      </c>
      <c r="P34" s="18" t="str">
        <f>IF($J34=1,IFERROR(INDEX('Scoring Engine (Rules)'!$Q$5:$Q$89,MATCH($A34&amp;"|"&amp;$I34,'Scoring Engine (Rules)'!$R$5:$R$89,0)),""),"")</f>
        <v>RM (routine)</v>
      </c>
    </row>
    <row r="35" spans="1:16" ht="63.75" customHeight="1" x14ac:dyDescent="0.35">
      <c r="A35" s="20" t="s">
        <v>116</v>
      </c>
      <c r="B35" s="18" t="s">
        <v>117</v>
      </c>
      <c r="C35" s="17" t="s">
        <v>15</v>
      </c>
      <c r="D35" s="21" t="str">
        <f>INDEX('Indicator Master'!$F$4:$F$24,MATCH($A35,'Indicator Master'!$A$4:$A$24,0))</f>
        <v>No</v>
      </c>
      <c r="E35" s="20">
        <f>INDEX('Indicator Master'!$N$4:$N$24,MATCH($A35,'Indicator Master'!$A$4:$A$24,0))</f>
        <v>35</v>
      </c>
      <c r="F35" s="34" t="s">
        <v>491</v>
      </c>
      <c r="G35" s="34" t="s">
        <v>491</v>
      </c>
      <c r="H35" s="35" t="s">
        <v>504</v>
      </c>
      <c r="I35" s="34">
        <v>10</v>
      </c>
      <c r="J35" s="21">
        <f t="shared" si="0"/>
        <v>1</v>
      </c>
      <c r="K35" s="36">
        <f>IF($J35=1,$I35/$E35*'Risk Bands (Config)'!$B$5,"")</f>
        <v>28.571428571428569</v>
      </c>
      <c r="L35" s="21">
        <f>IF(AND($D35="Yes",$J35=1,$I35/$E35*'Risk Bands (Config)'!$B$5&gt;='Risk Bands (Config)'!$B$6),1,0)</f>
        <v>0</v>
      </c>
      <c r="M35" s="37" t="str">
        <f t="shared" si="1"/>
        <v/>
      </c>
      <c r="N35" s="18" t="str">
        <f>IF($J35=1,IFERROR(INDEX('Scoring Engine (Rules)'!$O$5:$O$89,MATCH($A35&amp;"|"&amp;$I35,'Scoring Engine (Rules)'!$R$5:$R$89,0)),""),"")</f>
        <v>Early warning — moderate sector exposure/stress; monitor headwinds.</v>
      </c>
      <c r="O35" s="18" t="str">
        <f>IF($J35=1,IFERROR(INDEX('Scoring Engine (Rules)'!$P$5:$P$89,MATCH($A35&amp;"|"&amp;$I35,'Scoring Engine (Rules)'!$R$5:$R$89,0)),""),"")</f>
        <v>1) Note the sector outlook. 2) Assess the borrower's relative position. 3) Monitor.</v>
      </c>
      <c r="P35" s="18" t="str">
        <f>IF($J35=1,IFERROR(INDEX('Scoring Engine (Rules)'!$Q$5:$Q$89,MATCH($A35&amp;"|"&amp;$I35,'Scoring Engine (Rules)'!$R$5:$R$89,0)),""),"")</f>
        <v>Relationship Manager (Branch)</v>
      </c>
    </row>
    <row r="36" spans="1:16" ht="63.75" customHeight="1" x14ac:dyDescent="0.35">
      <c r="A36" s="20" t="s">
        <v>125</v>
      </c>
      <c r="B36" s="18" t="s">
        <v>126</v>
      </c>
      <c r="C36" s="17" t="s">
        <v>15</v>
      </c>
      <c r="D36" s="21" t="str">
        <f>INDEX('Indicator Master'!$F$4:$F$24,MATCH($A36,'Indicator Master'!$A$4:$A$24,0))</f>
        <v>No</v>
      </c>
      <c r="E36" s="20">
        <f>INDEX('Indicator Master'!$N$4:$N$24,MATCH($A36,'Indicator Master'!$A$4:$A$24,0))</f>
        <v>35</v>
      </c>
      <c r="F36" s="34" t="s">
        <v>491</v>
      </c>
      <c r="G36" s="34" t="s">
        <v>491</v>
      </c>
      <c r="H36" s="35" t="s">
        <v>505</v>
      </c>
      <c r="I36" s="34">
        <v>10</v>
      </c>
      <c r="J36" s="21">
        <f t="shared" si="0"/>
        <v>1</v>
      </c>
      <c r="K36" s="36">
        <f>IF($J36=1,$I36/$E36*'Risk Bands (Config)'!$B$5,"")</f>
        <v>28.571428571428569</v>
      </c>
      <c r="L36" s="21">
        <f>IF(AND($D36="Yes",$J36=1,$I36/$E36*'Risk Bands (Config)'!$B$5&gt;='Risk Bands (Config)'!$B$6),1,0)</f>
        <v>0</v>
      </c>
      <c r="M36" s="37" t="str">
        <f t="shared" si="1"/>
        <v/>
      </c>
      <c r="N36" s="18" t="str">
        <f>IF($J36=1,IFERROR(INDEX('Scoring Engine (Rules)'!$O$5:$O$89,MATCH($A36&amp;"|"&amp;$I36,'Scoring Engine (Rules)'!$R$5:$R$89,0)),""),"")</f>
        <v>Early warning — moderate commodity exposure; margin sensitivity.</v>
      </c>
      <c r="O36" s="18" t="str">
        <f>IF($J36=1,IFERROR(INDEX('Scoring Engine (Rules)'!$P$5:$P$89,MATCH($A36&amp;"|"&amp;$I36,'Scoring Engine (Rules)'!$R$5:$R$89,0)),""),"")</f>
        <v>1) Assess the pass-through ability. 2) Encourage hedging. 3) Monitor margins.</v>
      </c>
      <c r="P36" s="18" t="str">
        <f>IF($J36=1,IFERROR(INDEX('Scoring Engine (Rules)'!$Q$5:$Q$89,MATCH($A36&amp;"|"&amp;$I36,'Scoring Engine (Rules)'!$R$5:$R$89,0)),""),"")</f>
        <v>Relationship Manager (Branch)</v>
      </c>
    </row>
    <row r="37" spans="1:16" ht="63.75" customHeight="1" x14ac:dyDescent="0.35">
      <c r="A37" s="20" t="s">
        <v>130</v>
      </c>
      <c r="B37" s="18" t="s">
        <v>131</v>
      </c>
      <c r="C37" s="17" t="s">
        <v>15</v>
      </c>
      <c r="D37" s="21" t="str">
        <f>INDEX('Indicator Master'!$F$4:$F$24,MATCH($A37,'Indicator Master'!$A$4:$A$24,0))</f>
        <v>No</v>
      </c>
      <c r="E37" s="20">
        <f>INDEX('Indicator Master'!$N$4:$N$24,MATCH($A37,'Indicator Master'!$A$4:$A$24,0))</f>
        <v>35</v>
      </c>
      <c r="F37" s="34" t="s">
        <v>506</v>
      </c>
      <c r="G37" s="34"/>
      <c r="H37" s="35" t="s">
        <v>507</v>
      </c>
      <c r="I37" s="34"/>
      <c r="J37" s="21">
        <f t="shared" si="0"/>
        <v>0</v>
      </c>
      <c r="K37" s="36" t="str">
        <f>IF($J37=1,$I37/$E37*'Risk Bands (Config)'!$B$5,"")</f>
        <v/>
      </c>
      <c r="L37" s="21">
        <f>IF(AND($D37="Yes",$J37=1,$I37/$E37*'Risk Bands (Config)'!$B$5&gt;='Risk Bands (Config)'!$B$6),1,0)</f>
        <v>0</v>
      </c>
      <c r="M37" s="37" t="str">
        <f t="shared" si="1"/>
        <v/>
      </c>
      <c r="N37" s="18" t="str">
        <f>IF($J37=1,IFERROR(INDEX('Scoring Engine (Rules)'!$O$5:$O$89,MATCH($A37&amp;"|"&amp;$I37,'Scoring Engine (Rules)'!$R$5:$R$89,0)),""),"")</f>
        <v/>
      </c>
      <c r="O37" s="18" t="str">
        <f>IF($J37=1,IFERROR(INDEX('Scoring Engine (Rules)'!$P$5:$P$89,MATCH($A37&amp;"|"&amp;$I37,'Scoring Engine (Rules)'!$R$5:$R$89,0)),""),"")</f>
        <v/>
      </c>
      <c r="P37" s="18" t="str">
        <f>IF($J37=1,IFERROR(INDEX('Scoring Engine (Rules)'!$Q$5:$Q$89,MATCH($A37&amp;"|"&amp;$I37,'Scoring Engine (Rules)'!$R$5:$R$89,0)),""),"")</f>
        <v/>
      </c>
    </row>
    <row r="38" spans="1:16" ht="63.75" customHeight="1" x14ac:dyDescent="0.35">
      <c r="A38" s="20" t="s">
        <v>136</v>
      </c>
      <c r="B38" s="18" t="s">
        <v>137</v>
      </c>
      <c r="C38" s="17" t="s">
        <v>15</v>
      </c>
      <c r="D38" s="21" t="str">
        <f>INDEX('Indicator Master'!$F$4:$F$24,MATCH($A38,'Indicator Master'!$A$4:$A$24,0))</f>
        <v>No</v>
      </c>
      <c r="E38" s="20">
        <f>INDEX('Indicator Master'!$N$4:$N$24,MATCH($A38,'Indicator Master'!$A$4:$A$24,0))</f>
        <v>40</v>
      </c>
      <c r="F38" s="34" t="s">
        <v>506</v>
      </c>
      <c r="G38" s="34"/>
      <c r="H38" s="35" t="s">
        <v>508</v>
      </c>
      <c r="I38" s="34"/>
      <c r="J38" s="21">
        <f t="shared" si="0"/>
        <v>0</v>
      </c>
      <c r="K38" s="36" t="str">
        <f>IF($J38=1,$I38/$E38*'Risk Bands (Config)'!$B$5,"")</f>
        <v/>
      </c>
      <c r="L38" s="21">
        <f>IF(AND($D38="Yes",$J38=1,$I38/$E38*'Risk Bands (Config)'!$B$5&gt;='Risk Bands (Config)'!$B$6),1,0)</f>
        <v>0</v>
      </c>
      <c r="M38" s="37" t="str">
        <f t="shared" si="1"/>
        <v/>
      </c>
      <c r="N38" s="18" t="str">
        <f>IF($J38=1,IFERROR(INDEX('Scoring Engine (Rules)'!$O$5:$O$89,MATCH($A38&amp;"|"&amp;$I38,'Scoring Engine (Rules)'!$R$5:$R$89,0)),""),"")</f>
        <v/>
      </c>
      <c r="O38" s="18" t="str">
        <f>IF($J38=1,IFERROR(INDEX('Scoring Engine (Rules)'!$P$5:$P$89,MATCH($A38&amp;"|"&amp;$I38,'Scoring Engine (Rules)'!$R$5:$R$89,0)),""),"")</f>
        <v/>
      </c>
      <c r="P38" s="18" t="str">
        <f>IF($J38=1,IFERROR(INDEX('Scoring Engine (Rules)'!$Q$5:$Q$89,MATCH($A38&amp;"|"&amp;$I38,'Scoring Engine (Rules)'!$R$5:$R$89,0)),""),"")</f>
        <v/>
      </c>
    </row>
    <row r="39" spans="1:16" ht="63.75" customHeight="1" x14ac:dyDescent="0.35">
      <c r="A39" s="20" t="s">
        <v>143</v>
      </c>
      <c r="B39" s="18" t="s">
        <v>144</v>
      </c>
      <c r="C39" s="17" t="s">
        <v>15</v>
      </c>
      <c r="D39" s="21" t="str">
        <f>INDEX('Indicator Master'!$F$4:$F$24,MATCH($A39,'Indicator Master'!$A$4:$A$24,0))</f>
        <v>No</v>
      </c>
      <c r="E39" s="20">
        <f>INDEX('Indicator Master'!$N$4:$N$24,MATCH($A39,'Indicator Master'!$A$4:$A$24,0))</f>
        <v>40</v>
      </c>
      <c r="F39" s="34" t="s">
        <v>506</v>
      </c>
      <c r="G39" s="34"/>
      <c r="H39" s="35" t="s">
        <v>508</v>
      </c>
      <c r="I39" s="34"/>
      <c r="J39" s="21">
        <f t="shared" si="0"/>
        <v>0</v>
      </c>
      <c r="K39" s="36" t="str">
        <f>IF($J39=1,$I39/$E39*'Risk Bands (Config)'!$B$5,"")</f>
        <v/>
      </c>
      <c r="L39" s="21">
        <f>IF(AND($D39="Yes",$J39=1,$I39/$E39*'Risk Bands (Config)'!$B$5&gt;='Risk Bands (Config)'!$B$6),1,0)</f>
        <v>0</v>
      </c>
      <c r="M39" s="37" t="str">
        <f t="shared" si="1"/>
        <v/>
      </c>
      <c r="N39" s="18" t="str">
        <f>IF($J39=1,IFERROR(INDEX('Scoring Engine (Rules)'!$O$5:$O$89,MATCH($A39&amp;"|"&amp;$I39,'Scoring Engine (Rules)'!$R$5:$R$89,0)),""),"")</f>
        <v/>
      </c>
      <c r="O39" s="18" t="str">
        <f>IF($J39=1,IFERROR(INDEX('Scoring Engine (Rules)'!$P$5:$P$89,MATCH($A39&amp;"|"&amp;$I39,'Scoring Engine (Rules)'!$R$5:$R$89,0)),""),"")</f>
        <v/>
      </c>
      <c r="P39" s="18" t="str">
        <f>IF($J39=1,IFERROR(INDEX('Scoring Engine (Rules)'!$Q$5:$Q$89,MATCH($A39&amp;"|"&amp;$I39,'Scoring Engine (Rules)'!$R$5:$R$89,0)),""),"")</f>
        <v/>
      </c>
    </row>
    <row r="40" spans="1:16" ht="63.75" customHeight="1" x14ac:dyDescent="0.35">
      <c r="A40" s="20" t="s">
        <v>149</v>
      </c>
      <c r="B40" s="18" t="s">
        <v>150</v>
      </c>
      <c r="C40" s="17" t="s">
        <v>15</v>
      </c>
      <c r="D40" s="21" t="str">
        <f>INDEX('Indicator Master'!$F$4:$F$24,MATCH($A40,'Indicator Master'!$A$4:$A$24,0))</f>
        <v>No</v>
      </c>
      <c r="E40" s="20">
        <f>INDEX('Indicator Master'!$N$4:$N$24,MATCH($A40,'Indicator Master'!$A$4:$A$24,0))</f>
        <v>30</v>
      </c>
      <c r="F40" s="34" t="s">
        <v>491</v>
      </c>
      <c r="G40" s="34" t="s">
        <v>491</v>
      </c>
      <c r="H40" s="35" t="s">
        <v>509</v>
      </c>
      <c r="I40" s="34">
        <v>0</v>
      </c>
      <c r="J40" s="21">
        <f t="shared" si="0"/>
        <v>1</v>
      </c>
      <c r="K40" s="36">
        <f>IF($J40=1,$I40/$E40*'Risk Bands (Config)'!$B$5,"")</f>
        <v>0</v>
      </c>
      <c r="L40" s="21">
        <f>IF(AND($D40="Yes",$J40=1,$I40/$E40*'Risk Bands (Config)'!$B$5&gt;='Risk Bands (Config)'!$B$6),1,0)</f>
        <v>0</v>
      </c>
      <c r="M40" s="37" t="str">
        <f t="shared" si="1"/>
        <v/>
      </c>
      <c r="N40" s="18" t="str">
        <f>IF($J40=1,IFERROR(INDEX('Scoring Engine (Rules)'!$O$5:$O$89,MATCH($A40&amp;"|"&amp;$I40,'Scoring Engine (Rules)'!$R$5:$R$89,0)),""),"")</f>
        <v>Normal — plant operating normally; no shutdown.</v>
      </c>
      <c r="O40" s="18" t="str">
        <f>IF($J40=1,IFERROR(INDEX('Scoring Engine (Rules)'!$P$5:$P$89,MATCH($A40&amp;"|"&amp;$I40,'Scoring Engine (Rules)'!$R$5:$R$89,0)),""),"")</f>
        <v>No remedial action required. Continue routine monitoring at the standard review cycle and record the reading.</v>
      </c>
      <c r="P40" s="18" t="str">
        <f>IF($J40=1,IFERROR(INDEX('Scoring Engine (Rules)'!$Q$5:$Q$89,MATCH($A40&amp;"|"&amp;$I40,'Scoring Engine (Rules)'!$R$5:$R$89,0)),""),"")</f>
        <v>RM (routine)</v>
      </c>
    </row>
    <row r="41" spans="1:16" ht="63.75" customHeight="1" x14ac:dyDescent="0.35">
      <c r="A41" s="20" t="s">
        <v>158</v>
      </c>
      <c r="B41" s="18" t="s">
        <v>159</v>
      </c>
      <c r="C41" s="17" t="s">
        <v>15</v>
      </c>
      <c r="D41" s="21" t="str">
        <f>INDEX('Indicator Master'!$F$4:$F$24,MATCH($A41,'Indicator Master'!$A$4:$A$24,0))</f>
        <v>No</v>
      </c>
      <c r="E41" s="20">
        <f>INDEX('Indicator Master'!$N$4:$N$24,MATCH($A41,'Indicator Master'!$A$4:$A$24,0))</f>
        <v>40</v>
      </c>
      <c r="F41" s="34" t="s">
        <v>491</v>
      </c>
      <c r="G41" s="34" t="s">
        <v>506</v>
      </c>
      <c r="H41" s="35" t="s">
        <v>510</v>
      </c>
      <c r="I41" s="34"/>
      <c r="J41" s="21">
        <f t="shared" si="0"/>
        <v>0</v>
      </c>
      <c r="K41" s="36" t="str">
        <f>IF($J41=1,$I41/$E41*'Risk Bands (Config)'!$B$5,"")</f>
        <v/>
      </c>
      <c r="L41" s="21">
        <f>IF(AND($D41="Yes",$J41=1,$I41/$E41*'Risk Bands (Config)'!$B$5&gt;='Risk Bands (Config)'!$B$6),1,0)</f>
        <v>0</v>
      </c>
      <c r="M41" s="37" t="str">
        <f t="shared" si="1"/>
        <v/>
      </c>
      <c r="N41" s="18" t="str">
        <f>IF($J41=1,IFERROR(INDEX('Scoring Engine (Rules)'!$O$5:$O$89,MATCH($A41&amp;"|"&amp;$I41,'Scoring Engine (Rules)'!$R$5:$R$89,0)),""),"")</f>
        <v/>
      </c>
      <c r="O41" s="18" t="str">
        <f>IF($J41=1,IFERROR(INDEX('Scoring Engine (Rules)'!$P$5:$P$89,MATCH($A41&amp;"|"&amp;$I41,'Scoring Engine (Rules)'!$R$5:$R$89,0)),""),"")</f>
        <v/>
      </c>
      <c r="P41" s="18" t="str">
        <f>IF($J41=1,IFERROR(INDEX('Scoring Engine (Rules)'!$Q$5:$Q$89,MATCH($A41&amp;"|"&amp;$I41,'Scoring Engine (Rules)'!$R$5:$R$89,0)),""),"")</f>
        <v/>
      </c>
    </row>
    <row r="42" spans="1:16" ht="63.75" customHeight="1" x14ac:dyDescent="0.35">
      <c r="A42" s="20" t="s">
        <v>164</v>
      </c>
      <c r="B42" s="18" t="s">
        <v>165</v>
      </c>
      <c r="C42" s="17" t="s">
        <v>15</v>
      </c>
      <c r="D42" s="21" t="str">
        <f>INDEX('Indicator Master'!$F$4:$F$24,MATCH($A42,'Indicator Master'!$A$4:$A$24,0))</f>
        <v>No</v>
      </c>
      <c r="E42" s="20">
        <f>INDEX('Indicator Master'!$N$4:$N$24,MATCH($A42,'Indicator Master'!$A$4:$A$24,0))</f>
        <v>50</v>
      </c>
      <c r="F42" s="34" t="s">
        <v>491</v>
      </c>
      <c r="G42" s="34" t="s">
        <v>491</v>
      </c>
      <c r="H42" s="35" t="s">
        <v>511</v>
      </c>
      <c r="I42" s="34">
        <v>0</v>
      </c>
      <c r="J42" s="21">
        <f t="shared" si="0"/>
        <v>1</v>
      </c>
      <c r="K42" s="36">
        <f>IF($J42=1,$I42/$E42*'Risk Bands (Config)'!$B$5,"")</f>
        <v>0</v>
      </c>
      <c r="L42" s="21">
        <f>IF(AND($D42="Yes",$J42=1,$I42/$E42*'Risk Bands (Config)'!$B$5&gt;='Risk Bands (Config)'!$B$6),1,0)</f>
        <v>0</v>
      </c>
      <c r="M42" s="37" t="str">
        <f t="shared" si="1"/>
        <v/>
      </c>
      <c r="N42" s="18" t="str">
        <f>IF($J42=1,IFERROR(INDEX('Scoring Engine (Rules)'!$O$5:$O$89,MATCH($A42&amp;"|"&amp;$I42,'Scoring Engine (Rules)'!$R$5:$R$89,0)),""),"")</f>
        <v>Normal — funds used for the sanctioned purpose; compliant.</v>
      </c>
      <c r="O42" s="18" t="str">
        <f>IF($J42=1,IFERROR(INDEX('Scoring Engine (Rules)'!$P$5:$P$89,MATCH($A42&amp;"|"&amp;$I42,'Scoring Engine (Rules)'!$R$5:$R$89,0)),""),"")</f>
        <v>No remedial action required. Continue routine monitoring at the standard review cycle and record the reading.</v>
      </c>
      <c r="P42" s="18" t="str">
        <f>IF($J42=1,IFERROR(INDEX('Scoring Engine (Rules)'!$Q$5:$Q$89,MATCH($A42&amp;"|"&amp;$I42,'Scoring Engine (Rules)'!$R$5:$R$89,0)),""),"")</f>
        <v>RM (routine)</v>
      </c>
    </row>
    <row r="43" spans="1:16" ht="63.75" customHeight="1" x14ac:dyDescent="0.35">
      <c r="A43" s="20" t="s">
        <v>171</v>
      </c>
      <c r="B43" s="18" t="s">
        <v>172</v>
      </c>
      <c r="C43" s="17" t="s">
        <v>15</v>
      </c>
      <c r="D43" s="21" t="str">
        <f>INDEX('Indicator Master'!$F$4:$F$24,MATCH($A43,'Indicator Master'!$A$4:$A$24,0))</f>
        <v>No</v>
      </c>
      <c r="E43" s="20">
        <f>INDEX('Indicator Master'!$N$4:$N$24,MATCH($A43,'Indicator Master'!$A$4:$A$24,0))</f>
        <v>25</v>
      </c>
      <c r="F43" s="34" t="s">
        <v>491</v>
      </c>
      <c r="G43" s="34" t="s">
        <v>491</v>
      </c>
      <c r="H43" s="35" t="s">
        <v>512</v>
      </c>
      <c r="I43" s="34">
        <v>15</v>
      </c>
      <c r="J43" s="21">
        <f t="shared" si="0"/>
        <v>1</v>
      </c>
      <c r="K43" s="36">
        <f>IF($J43=1,$I43/$E43*'Risk Bands (Config)'!$B$5,"")</f>
        <v>60</v>
      </c>
      <c r="L43" s="21">
        <f>IF(AND($D43="Yes",$J43=1,$I43/$E43*'Risk Bands (Config)'!$B$5&gt;='Risk Bands (Config)'!$B$6),1,0)</f>
        <v>0</v>
      </c>
      <c r="M43" s="37" t="str">
        <f t="shared" si="1"/>
        <v/>
      </c>
      <c r="N43" s="18" t="str">
        <f>IF($J43=1,IFERROR(INDEX('Scoring Engine (Rules)'!$O$5:$O$89,MATCH($A43&amp;"|"&amp;$I43,'Scoring Engine (Rules)'!$R$5:$R$89,0)),""),"")</f>
        <v>Elevated concern — two overdue events; a pattern forming.</v>
      </c>
      <c r="O43" s="18" t="str">
        <f>IF($J43=1,IFERROR(INDEX('Scoring Engine (Rules)'!$P$5:$P$89,MATCH($A43&amp;"|"&amp;$I43,'Scoring Engine (Rules)'!$R$5:$R$89,0)),""),"")</f>
        <v>1) Obtain a written explanation. 2) Enforce due-date discipline. 3) Place on the watch-list.</v>
      </c>
      <c r="P43" s="18" t="str">
        <f>IF($J43=1,IFERROR(INDEX('Scoring Engine (Rules)'!$Q$5:$Q$89,MATCH($A43&amp;"|"&amp;$I43,'Scoring Engine (Rules)'!$R$5:$R$89,0)),""),"")</f>
        <v>RM + Credit Analyst</v>
      </c>
    </row>
    <row r="45" spans="1:16" ht="15" customHeight="1" x14ac:dyDescent="0.35">
      <c r="A45" s="10" t="s">
        <v>513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15" customHeight="1" x14ac:dyDescent="0.35">
      <c r="A46" s="25" t="s">
        <v>514</v>
      </c>
      <c r="B46" s="38"/>
      <c r="C46" s="12" t="s">
        <v>515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 ht="15" customHeight="1" x14ac:dyDescent="0.35">
      <c r="A47" s="25" t="s">
        <v>516</v>
      </c>
      <c r="B47" s="29" t="str">
        <f>IF($B$46="","(enter previous score)",$B$14-$B$46)</f>
        <v>(enter previous score)</v>
      </c>
      <c r="C47" s="12" t="s">
        <v>517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 ht="15" customHeight="1" x14ac:dyDescent="0.35">
      <c r="A48" s="25" t="s">
        <v>518</v>
      </c>
      <c r="B48" s="26" t="str">
        <f>IF($B$12&gt;='Risk Bands (Config)'!$B$16,"Adequate","LOW — insufficient data; treat score as low-confidence")</f>
        <v>Adequate</v>
      </c>
      <c r="C48" s="12" t="s">
        <v>519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</sheetData>
  <mergeCells count="14">
    <mergeCell ref="A45:P45"/>
    <mergeCell ref="C46:P46"/>
    <mergeCell ref="C47:P47"/>
    <mergeCell ref="C48:P48"/>
    <mergeCell ref="C12:P12"/>
    <mergeCell ref="C14:P14"/>
    <mergeCell ref="C15:P15"/>
    <mergeCell ref="C16:P16"/>
    <mergeCell ref="A20:P20"/>
    <mergeCell ref="A1:P1"/>
    <mergeCell ref="A2:P2"/>
    <mergeCell ref="C8:P8"/>
    <mergeCell ref="C9:P9"/>
    <mergeCell ref="C10:P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zoomScaleNormal="100" workbookViewId="0">
      <selection sqref="A1:G1"/>
    </sheetView>
  </sheetViews>
  <sheetFormatPr defaultColWidth="8.6328125" defaultRowHeight="14.5" x14ac:dyDescent="0.35"/>
  <cols>
    <col min="1" max="1" width="9" customWidth="1"/>
    <col min="2" max="2" width="26" customWidth="1"/>
    <col min="3" max="3" width="40" customWidth="1"/>
    <col min="4" max="5" width="7" customWidth="1"/>
    <col min="6" max="6" width="11" customWidth="1"/>
    <col min="7" max="7" width="34" customWidth="1"/>
  </cols>
  <sheetData>
    <row r="1" spans="1:7" ht="30" customHeight="1" x14ac:dyDescent="0.35">
      <c r="A1" s="14" t="s">
        <v>520</v>
      </c>
      <c r="B1" s="14"/>
      <c r="C1" s="14"/>
      <c r="D1" s="14"/>
      <c r="E1" s="14"/>
      <c r="F1" s="14"/>
      <c r="G1" s="14"/>
    </row>
    <row r="2" spans="1:7" ht="25.5" customHeight="1" x14ac:dyDescent="0.35">
      <c r="A2" s="13" t="s">
        <v>521</v>
      </c>
      <c r="B2" s="13"/>
      <c r="C2" s="13"/>
      <c r="D2" s="13"/>
      <c r="E2" s="13"/>
      <c r="F2" s="13"/>
      <c r="G2" s="13"/>
    </row>
    <row r="4" spans="1:7" ht="23.25" customHeight="1" x14ac:dyDescent="0.35">
      <c r="A4" s="9" t="s">
        <v>522</v>
      </c>
      <c r="B4" s="9"/>
      <c r="C4" s="9"/>
      <c r="D4" s="9"/>
      <c r="E4" s="9"/>
      <c r="F4" s="9"/>
      <c r="G4" s="9"/>
    </row>
    <row r="6" spans="1:7" ht="27.75" customHeight="1" x14ac:dyDescent="0.35">
      <c r="A6" s="33" t="s">
        <v>523</v>
      </c>
      <c r="B6" s="33" t="s">
        <v>474</v>
      </c>
      <c r="C6" s="33" t="s">
        <v>469</v>
      </c>
      <c r="D6" s="33" t="s">
        <v>524</v>
      </c>
      <c r="E6" s="33" t="s">
        <v>525</v>
      </c>
      <c r="F6" s="33" t="s">
        <v>480</v>
      </c>
    </row>
    <row r="7" spans="1:7" ht="15" customHeight="1" x14ac:dyDescent="0.35">
      <c r="A7" s="39">
        <f>'Overall Score Engine'!$B$14</f>
        <v>27.829131652661061</v>
      </c>
      <c r="B7" s="40" t="str">
        <f>'Overall Score Engine'!$B$15</f>
        <v>Yellow</v>
      </c>
      <c r="C7" s="41">
        <f>'Overall Score Engine'!$B$12</f>
        <v>94.444444444444443</v>
      </c>
      <c r="D7" s="40" t="str">
        <f>'Overall Score Engine'!$B$16</f>
        <v>NO</v>
      </c>
      <c r="E7" s="40" t="str">
        <f>'Overall Score Engine'!$B$17</f>
        <v>None</v>
      </c>
      <c r="F7" s="42" t="str">
        <f>'Overall Score Engine'!$B$18</f>
        <v>Yellow</v>
      </c>
    </row>
    <row r="9" spans="1:7" ht="15" customHeight="1" x14ac:dyDescent="0.35">
      <c r="A9" s="8" t="s">
        <v>526</v>
      </c>
      <c r="B9" s="8"/>
      <c r="C9" s="8"/>
      <c r="D9" s="8"/>
      <c r="E9" s="8"/>
      <c r="F9" s="8"/>
      <c r="G9" s="8"/>
    </row>
    <row r="10" spans="1:7" ht="25.5" customHeight="1" x14ac:dyDescent="0.35">
      <c r="A10" s="15" t="s">
        <v>0</v>
      </c>
      <c r="B10" s="15" t="s">
        <v>2</v>
      </c>
      <c r="C10" s="15" t="s">
        <v>527</v>
      </c>
      <c r="D10" s="15" t="s">
        <v>528</v>
      </c>
      <c r="E10" s="15" t="s">
        <v>529</v>
      </c>
      <c r="F10" s="15" t="s">
        <v>530</v>
      </c>
      <c r="G10" s="15" t="s">
        <v>531</v>
      </c>
    </row>
    <row r="11" spans="1:7" ht="21.75" customHeight="1" x14ac:dyDescent="0.35">
      <c r="A11" s="20" t="str">
        <f>'Overall Score Engine'!$A$43</f>
        <v>CM-021</v>
      </c>
      <c r="B11" s="18" t="str">
        <f>'Overall Score Engine'!$B$43</f>
        <v>Count of overdue events (rolling 3-6m)</v>
      </c>
      <c r="C11" s="18" t="str">
        <f>'Overall Score Engine'!$H$43</f>
        <v>2 overdue events in the last 3-6 months  →  band '2 instances'</v>
      </c>
      <c r="D11" s="21">
        <f>'Overall Score Engine'!$I$43</f>
        <v>15</v>
      </c>
      <c r="E11" s="21">
        <f>'Overall Score Engine'!$E$43</f>
        <v>25</v>
      </c>
      <c r="F11" s="36">
        <f>'Overall Score Engine'!$K$43</f>
        <v>60</v>
      </c>
      <c r="G11" s="44" t="s">
        <v>532</v>
      </c>
    </row>
    <row r="12" spans="1:7" ht="21.75" customHeight="1" x14ac:dyDescent="0.35">
      <c r="A12" s="20" t="str">
        <f>'Overall Score Engine'!$A$25</f>
        <v>CM-003</v>
      </c>
      <c r="B12" s="18" t="str">
        <f>'Overall Score Engine'!$B$25</f>
        <v>GST turnover change % / vs bank credits</v>
      </c>
      <c r="C12" s="18" t="str">
        <f>'Overall Score Engine'!$H$25</f>
        <v>GST turnover down ~30% vs prior period  →  band '20-40% decline'</v>
      </c>
      <c r="D12" s="21">
        <f>'Overall Score Engine'!$I$25</f>
        <v>20</v>
      </c>
      <c r="E12" s="21">
        <f>'Overall Score Engine'!$E$25</f>
        <v>35</v>
      </c>
      <c r="F12" s="36">
        <f>'Overall Score Engine'!$K$25</f>
        <v>57.142857142857139</v>
      </c>
      <c r="G12" s="44" t="s">
        <v>532</v>
      </c>
    </row>
    <row r="13" spans="1:7" ht="15" customHeight="1" x14ac:dyDescent="0.35">
      <c r="A13" s="20" t="str">
        <f>'Overall Score Engine'!$A$27</f>
        <v>CM-005</v>
      </c>
      <c r="B13" s="18" t="str">
        <f>'Overall Score Engine'!$B$27</f>
        <v>Current Ratio</v>
      </c>
      <c r="C13" s="18" t="str">
        <f>'Overall Score Engine'!$H$27</f>
        <v>Current ratio at 1.05  →  band '1.00-1.09'</v>
      </c>
      <c r="D13" s="21">
        <f>'Overall Score Engine'!$I$27</f>
        <v>20</v>
      </c>
      <c r="E13" s="21">
        <f>'Overall Score Engine'!$E$27</f>
        <v>35</v>
      </c>
      <c r="F13" s="36">
        <f>'Overall Score Engine'!$K$27</f>
        <v>57.142857142857139</v>
      </c>
      <c r="G13" s="44" t="s">
        <v>532</v>
      </c>
    </row>
    <row r="14" spans="1:7" ht="21.75" customHeight="1" x14ac:dyDescent="0.35">
      <c r="A14" s="20" t="str">
        <f>'Overall Score Engine'!$A$26</f>
        <v>CM-004</v>
      </c>
      <c r="B14" s="18" t="str">
        <f>'Overall Score Engine'!$B$26</f>
        <v>Cash Flow from Operations (sign / periods)</v>
      </c>
      <c r="C14" s="18" t="str">
        <f>'Overall Score Engine'!$H$26</f>
        <v>One negative operating cash-flow quarter  →  band 'one negative period'</v>
      </c>
      <c r="D14" s="21">
        <f>'Overall Score Engine'!$I$26</f>
        <v>15</v>
      </c>
      <c r="E14" s="21">
        <f>'Overall Score Engine'!$E$26</f>
        <v>40</v>
      </c>
      <c r="F14" s="36">
        <f>'Overall Score Engine'!$K$26</f>
        <v>37.5</v>
      </c>
      <c r="G14" s="44" t="s">
        <v>532</v>
      </c>
    </row>
    <row r="15" spans="1:7" ht="21.75" customHeight="1" x14ac:dyDescent="0.35">
      <c r="A15" s="20" t="str">
        <f>'Overall Score Engine'!$A$30</f>
        <v>CM-008</v>
      </c>
      <c r="B15" s="18" t="str">
        <f>'Overall Score Engine'!$B$30</f>
        <v>Restructuring request status</v>
      </c>
      <c r="C15" s="18" t="str">
        <f>'Overall Score Engine'!$H$30</f>
        <v>Informal moratorium request raised by the borrower  →  band 'informal request'</v>
      </c>
      <c r="D15" s="21">
        <f>'Overall Score Engine'!$I$30</f>
        <v>15</v>
      </c>
      <c r="E15" s="21">
        <f>'Overall Score Engine'!$E$30</f>
        <v>40</v>
      </c>
      <c r="F15" s="36">
        <f>'Overall Score Engine'!$K$30</f>
        <v>37.5</v>
      </c>
      <c r="G15" s="44" t="s">
        <v>532</v>
      </c>
    </row>
    <row r="16" spans="1:7" ht="21.75" customHeight="1" x14ac:dyDescent="0.35">
      <c r="A16" s="20" t="str">
        <f>'Overall Score Engine'!$A$31</f>
        <v>CM-009</v>
      </c>
      <c r="B16" s="18" t="str">
        <f>'Overall Score Engine'!$B$31</f>
        <v>Security/collateral cover ratio</v>
      </c>
      <c r="C16" s="18" t="str">
        <f>'Overall Score Engine'!$H$31</f>
        <v>Minor collateral-cover shortfall pending revaluation  →  band 'minor shortfall/lapse'</v>
      </c>
      <c r="D16" s="21">
        <f>'Overall Score Engine'!$I$31</f>
        <v>15</v>
      </c>
      <c r="E16" s="21">
        <f>'Overall Score Engine'!$E$31</f>
        <v>40</v>
      </c>
      <c r="F16" s="36">
        <f>'Overall Score Engine'!$K$31</f>
        <v>37.5</v>
      </c>
      <c r="G16" s="44" t="s">
        <v>532</v>
      </c>
    </row>
    <row r="17" spans="1:7" ht="21.75" customHeight="1" x14ac:dyDescent="0.35">
      <c r="A17" s="20" t="str">
        <f>'Overall Score Engine'!$A$41</f>
        <v>CM-019</v>
      </c>
      <c r="B17" s="18" t="str">
        <f>'Overall Score Engine'!$B$41</f>
        <v>Cyber/operational disruption classification</v>
      </c>
      <c r="C17" s="18" t="str">
        <f>'Overall Score Engine'!$H$41</f>
        <v>Applicable but data not available (cyber-risk assessment not yet available) — excluded, not zero</v>
      </c>
      <c r="D17" s="21">
        <f>'Overall Score Engine'!$I$41</f>
        <v>0</v>
      </c>
      <c r="E17" s="21">
        <f>'Overall Score Engine'!$E$41</f>
        <v>40</v>
      </c>
      <c r="F17" s="36" t="str">
        <f>'Overall Score Engine'!$K$41</f>
        <v/>
      </c>
      <c r="G17" s="44" t="s">
        <v>533</v>
      </c>
    </row>
    <row r="18" spans="1:7" ht="21.75" customHeight="1" x14ac:dyDescent="0.35">
      <c r="A18" s="20" t="str">
        <f>'Overall Score Engine'!$A$37</f>
        <v>CM-015</v>
      </c>
      <c r="B18" s="18" t="str">
        <f>'Overall Score Engine'!$B$37</f>
        <v>Geopolitical exposure classification</v>
      </c>
      <c r="C18" s="18" t="str">
        <f>'Overall Score Engine'!$H$37</f>
        <v>Not applicable to this borrower (domestic operations only)</v>
      </c>
      <c r="D18" s="21">
        <f>'Overall Score Engine'!$I$37</f>
        <v>0</v>
      </c>
      <c r="E18" s="21">
        <f>'Overall Score Engine'!$E$37</f>
        <v>35</v>
      </c>
      <c r="F18" s="36" t="str">
        <f>'Overall Score Engine'!$K$37</f>
        <v/>
      </c>
      <c r="G18" s="44" t="s">
        <v>534</v>
      </c>
    </row>
    <row r="20" spans="1:7" ht="21.75" customHeight="1" x14ac:dyDescent="0.35">
      <c r="A20" s="7" t="s">
        <v>535</v>
      </c>
      <c r="B20" s="7"/>
      <c r="C20" s="7"/>
      <c r="D20" s="7"/>
      <c r="E20" s="7"/>
      <c r="F20" s="7"/>
      <c r="G20" s="7"/>
    </row>
  </sheetData>
  <mergeCells count="5">
    <mergeCell ref="A1:G1"/>
    <mergeCell ref="A2:G2"/>
    <mergeCell ref="A4:G4"/>
    <mergeCell ref="A9:G9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zoomScale="73" zoomScaleNormal="73" workbookViewId="0">
      <selection activeCell="A18" sqref="A18:XFD22"/>
    </sheetView>
  </sheetViews>
  <sheetFormatPr defaultColWidth="8.54296875" defaultRowHeight="14.5" x14ac:dyDescent="0.35"/>
  <cols>
    <col min="1" max="1" width="37.81640625" customWidth="1"/>
    <col min="2" max="2" width="11" customWidth="1"/>
    <col min="3" max="3" width="10" customWidth="1"/>
    <col min="4" max="4" width="18" customWidth="1"/>
    <col min="5" max="5" width="34" customWidth="1"/>
    <col min="6" max="6" width="57.26953125" customWidth="1"/>
  </cols>
  <sheetData>
    <row r="1" spans="1:6" ht="30" customHeight="1" x14ac:dyDescent="0.35">
      <c r="A1" s="6" t="s">
        <v>536</v>
      </c>
      <c r="B1" s="6"/>
      <c r="C1" s="6"/>
      <c r="D1" s="6"/>
      <c r="E1" s="6"/>
      <c r="F1" s="6"/>
    </row>
    <row r="2" spans="1:6" ht="24" hidden="1" customHeight="1" x14ac:dyDescent="0.35">
      <c r="A2" s="5" t="s">
        <v>537</v>
      </c>
      <c r="B2" s="5"/>
      <c r="C2" s="5"/>
      <c r="D2" s="5"/>
      <c r="E2" s="5"/>
      <c r="F2" s="5"/>
    </row>
    <row r="4" spans="1:6" ht="15" customHeight="1" x14ac:dyDescent="0.35">
      <c r="A4" s="45" t="s">
        <v>538</v>
      </c>
      <c r="B4" s="45" t="s">
        <v>539</v>
      </c>
      <c r="C4" s="4" t="s">
        <v>531</v>
      </c>
      <c r="D4" s="4"/>
      <c r="E4" s="4"/>
      <c r="F4" s="4"/>
    </row>
    <row r="5" spans="1:6" ht="15" customHeight="1" x14ac:dyDescent="0.35">
      <c r="A5" s="46" t="s">
        <v>540</v>
      </c>
      <c r="B5" s="47">
        <v>100</v>
      </c>
      <c r="C5" s="3" t="s">
        <v>541</v>
      </c>
      <c r="D5" s="3"/>
      <c r="E5" s="3"/>
      <c r="F5" s="3"/>
    </row>
    <row r="6" spans="1:6" ht="15" customHeight="1" x14ac:dyDescent="0.35">
      <c r="A6" s="46" t="s">
        <v>542</v>
      </c>
      <c r="B6" s="47">
        <v>100</v>
      </c>
      <c r="C6" s="3" t="s">
        <v>543</v>
      </c>
      <c r="D6" s="3"/>
      <c r="E6" s="3"/>
      <c r="F6" s="3"/>
    </row>
    <row r="8" spans="1:6" ht="27.75" customHeight="1" x14ac:dyDescent="0.35">
      <c r="A8" s="48" t="s">
        <v>544</v>
      </c>
      <c r="B8" s="48" t="s">
        <v>545</v>
      </c>
      <c r="C8" s="48" t="s">
        <v>546</v>
      </c>
      <c r="D8" s="48" t="s">
        <v>547</v>
      </c>
      <c r="E8" s="48" t="s">
        <v>548</v>
      </c>
      <c r="F8" s="48" t="s">
        <v>549</v>
      </c>
    </row>
    <row r="9" spans="1:6" ht="15" customHeight="1" x14ac:dyDescent="0.35">
      <c r="A9" s="49" t="s">
        <v>550</v>
      </c>
      <c r="B9" s="50">
        <v>0</v>
      </c>
      <c r="C9" s="50">
        <v>19</v>
      </c>
      <c r="D9" s="50">
        <v>0</v>
      </c>
      <c r="E9" s="51" t="s">
        <v>551</v>
      </c>
      <c r="F9" s="51" t="s">
        <v>552</v>
      </c>
    </row>
    <row r="10" spans="1:6" ht="23.25" customHeight="1" x14ac:dyDescent="0.35">
      <c r="A10" s="52" t="s">
        <v>553</v>
      </c>
      <c r="B10" s="50">
        <v>20</v>
      </c>
      <c r="C10" s="50">
        <v>39</v>
      </c>
      <c r="D10" s="50">
        <v>20</v>
      </c>
      <c r="E10" s="51" t="s">
        <v>554</v>
      </c>
      <c r="F10" s="51" t="s">
        <v>555</v>
      </c>
    </row>
    <row r="11" spans="1:6" ht="23.25" customHeight="1" x14ac:dyDescent="0.35">
      <c r="A11" s="53" t="s">
        <v>556</v>
      </c>
      <c r="B11" s="50">
        <v>40</v>
      </c>
      <c r="C11" s="50">
        <v>59</v>
      </c>
      <c r="D11" s="50">
        <v>40</v>
      </c>
      <c r="E11" s="51" t="s">
        <v>557</v>
      </c>
      <c r="F11" s="51" t="s">
        <v>558</v>
      </c>
    </row>
    <row r="12" spans="1:6" ht="23.25" customHeight="1" x14ac:dyDescent="0.35">
      <c r="A12" s="54" t="s">
        <v>559</v>
      </c>
      <c r="B12" s="50">
        <v>60</v>
      </c>
      <c r="C12" s="50">
        <v>79</v>
      </c>
      <c r="D12" s="50">
        <v>60</v>
      </c>
      <c r="E12" s="51" t="s">
        <v>560</v>
      </c>
      <c r="F12" s="51" t="s">
        <v>561</v>
      </c>
    </row>
    <row r="13" spans="1:6" ht="23.25" customHeight="1" x14ac:dyDescent="0.35">
      <c r="A13" s="55" t="s">
        <v>483</v>
      </c>
      <c r="B13" s="50">
        <v>80</v>
      </c>
      <c r="C13" s="50">
        <v>100</v>
      </c>
      <c r="D13" s="50">
        <v>80</v>
      </c>
      <c r="E13" s="51" t="s">
        <v>562</v>
      </c>
      <c r="F13" s="51" t="s">
        <v>563</v>
      </c>
    </row>
    <row r="15" spans="1:6" ht="14.25" customHeight="1" x14ac:dyDescent="0.35">
      <c r="A15" s="10" t="s">
        <v>564</v>
      </c>
      <c r="B15" s="10"/>
      <c r="C15" s="10"/>
      <c r="D15" s="10"/>
      <c r="E15" s="10"/>
      <c r="F15" s="10"/>
    </row>
    <row r="16" spans="1:6" ht="14.25" customHeight="1" x14ac:dyDescent="0.35">
      <c r="A16" s="56" t="s">
        <v>565</v>
      </c>
      <c r="B16" s="57">
        <v>60</v>
      </c>
      <c r="C16" s="2" t="s">
        <v>566</v>
      </c>
      <c r="D16" s="2"/>
      <c r="E16" s="2"/>
      <c r="F16" s="2"/>
    </row>
  </sheetData>
  <mergeCells count="7">
    <mergeCell ref="A15:F15"/>
    <mergeCell ref="C16:F16"/>
    <mergeCell ref="A1:F1"/>
    <mergeCell ref="A2:F2"/>
    <mergeCell ref="C4:F4"/>
    <mergeCell ref="C5:F5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3"/>
  <sheetViews>
    <sheetView showGridLines="0" tabSelected="1" zoomScale="68" zoomScaleNormal="55" workbookViewId="0">
      <selection activeCell="K32" sqref="K32"/>
    </sheetView>
  </sheetViews>
  <sheetFormatPr defaultColWidth="8.6328125" defaultRowHeight="14.5" x14ac:dyDescent="0.35"/>
  <cols>
    <col min="1" max="1" width="16" customWidth="1"/>
    <col min="2" max="2" width="26" customWidth="1"/>
    <col min="3" max="3" width="30" customWidth="1"/>
    <col min="4" max="4" width="22" customWidth="1"/>
    <col min="5" max="5" width="16" customWidth="1"/>
    <col min="6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26" customWidth="1"/>
    <col min="12" max="12" width="12" customWidth="1"/>
  </cols>
  <sheetData>
    <row r="1" spans="1:12" ht="30" customHeight="1" x14ac:dyDescent="0.35">
      <c r="A1" s="1" t="s">
        <v>567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7.75" customHeight="1" x14ac:dyDescent="0.35">
      <c r="A2" s="78" t="s">
        <v>568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4" spans="1:12" ht="19.5" customHeight="1" x14ac:dyDescent="0.35">
      <c r="A4" s="79" t="s">
        <v>569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</row>
    <row r="5" spans="1:12" ht="30" customHeight="1" x14ac:dyDescent="0.35">
      <c r="A5" s="33" t="s">
        <v>570</v>
      </c>
      <c r="B5" s="33" t="s">
        <v>571</v>
      </c>
      <c r="C5" s="33" t="s">
        <v>572</v>
      </c>
      <c r="D5" s="33" t="s">
        <v>573</v>
      </c>
      <c r="E5" s="33" t="s">
        <v>574</v>
      </c>
      <c r="F5" s="33" t="s">
        <v>575</v>
      </c>
      <c r="G5" s="33" t="s">
        <v>576</v>
      </c>
      <c r="H5" s="33" t="s">
        <v>577</v>
      </c>
      <c r="I5" s="33" t="s">
        <v>578</v>
      </c>
      <c r="J5" s="33" t="s">
        <v>579</v>
      </c>
      <c r="K5" s="33" t="s">
        <v>580</v>
      </c>
      <c r="L5" s="33" t="s">
        <v>581</v>
      </c>
    </row>
    <row r="6" spans="1:12" ht="42" customHeight="1" x14ac:dyDescent="0.35">
      <c r="A6" s="59" t="s">
        <v>582</v>
      </c>
      <c r="B6" s="18" t="s">
        <v>228</v>
      </c>
      <c r="C6" s="18" t="s">
        <v>583</v>
      </c>
      <c r="D6" s="60" t="s">
        <v>479</v>
      </c>
      <c r="E6" s="21" t="s">
        <v>584</v>
      </c>
      <c r="F6" s="18" t="s">
        <v>584</v>
      </c>
      <c r="G6" s="18" t="s">
        <v>479</v>
      </c>
      <c r="H6" s="18" t="s">
        <v>584</v>
      </c>
      <c r="I6" s="18" t="s">
        <v>584</v>
      </c>
      <c r="J6" s="18" t="s">
        <v>584</v>
      </c>
      <c r="K6" s="18" t="s">
        <v>584</v>
      </c>
      <c r="L6" s="18" t="s">
        <v>585</v>
      </c>
    </row>
    <row r="7" spans="1:12" ht="42" customHeight="1" x14ac:dyDescent="0.35">
      <c r="A7" s="61" t="s">
        <v>586</v>
      </c>
      <c r="B7" s="62" t="s">
        <v>587</v>
      </c>
      <c r="C7" s="62" t="s">
        <v>588</v>
      </c>
      <c r="D7" s="63" t="s">
        <v>589</v>
      </c>
      <c r="E7" s="64" t="s">
        <v>590</v>
      </c>
      <c r="F7" s="62" t="s">
        <v>591</v>
      </c>
      <c r="G7" s="62" t="s">
        <v>592</v>
      </c>
      <c r="H7" s="62" t="s">
        <v>593</v>
      </c>
      <c r="I7" s="62" t="s">
        <v>594</v>
      </c>
      <c r="J7" s="62" t="s">
        <v>595</v>
      </c>
      <c r="K7" s="62" t="s">
        <v>596</v>
      </c>
      <c r="L7" s="62" t="s">
        <v>597</v>
      </c>
    </row>
    <row r="8" spans="1:12" ht="42" customHeight="1" x14ac:dyDescent="0.35">
      <c r="A8" s="59" t="s">
        <v>598</v>
      </c>
      <c r="B8" s="18" t="s">
        <v>599</v>
      </c>
      <c r="C8" s="18" t="s">
        <v>600</v>
      </c>
      <c r="D8" s="65" t="s">
        <v>601</v>
      </c>
      <c r="E8" s="21" t="s">
        <v>602</v>
      </c>
      <c r="F8" s="18" t="s">
        <v>591</v>
      </c>
      <c r="G8" s="18" t="s">
        <v>603</v>
      </c>
      <c r="H8" s="18" t="s">
        <v>593</v>
      </c>
      <c r="I8" s="18" t="s">
        <v>594</v>
      </c>
      <c r="J8" s="18" t="s">
        <v>604</v>
      </c>
      <c r="K8" s="18" t="s">
        <v>605</v>
      </c>
      <c r="L8" s="18" t="s">
        <v>606</v>
      </c>
    </row>
    <row r="9" spans="1:12" ht="42" customHeight="1" x14ac:dyDescent="0.35">
      <c r="A9" s="61" t="s">
        <v>607</v>
      </c>
      <c r="B9" s="62" t="s">
        <v>608</v>
      </c>
      <c r="C9" s="62" t="s">
        <v>609</v>
      </c>
      <c r="D9" s="65" t="s">
        <v>601</v>
      </c>
      <c r="E9" s="64" t="s">
        <v>602</v>
      </c>
      <c r="F9" s="62" t="s">
        <v>591</v>
      </c>
      <c r="G9" s="62" t="s">
        <v>603</v>
      </c>
      <c r="H9" s="62" t="s">
        <v>610</v>
      </c>
      <c r="I9" s="62" t="s">
        <v>594</v>
      </c>
      <c r="J9" s="62" t="s">
        <v>611</v>
      </c>
      <c r="K9" s="62" t="s">
        <v>612</v>
      </c>
      <c r="L9" s="62" t="s">
        <v>613</v>
      </c>
    </row>
    <row r="10" spans="1:12" ht="42" customHeight="1" x14ac:dyDescent="0.35">
      <c r="A10" s="59" t="s">
        <v>614</v>
      </c>
      <c r="B10" s="18" t="s">
        <v>615</v>
      </c>
      <c r="C10" s="18" t="s">
        <v>616</v>
      </c>
      <c r="D10" s="66" t="s">
        <v>617</v>
      </c>
      <c r="E10" s="21" t="s">
        <v>618</v>
      </c>
      <c r="F10" s="18" t="s">
        <v>619</v>
      </c>
      <c r="G10" s="18" t="s">
        <v>603</v>
      </c>
      <c r="H10" s="18" t="s">
        <v>610</v>
      </c>
      <c r="I10" s="18" t="s">
        <v>594</v>
      </c>
      <c r="J10" s="18" t="s">
        <v>620</v>
      </c>
      <c r="K10" s="18" t="s">
        <v>621</v>
      </c>
      <c r="L10" s="18" t="s">
        <v>622</v>
      </c>
    </row>
    <row r="11" spans="1:12" ht="42" customHeight="1" x14ac:dyDescent="0.35">
      <c r="A11" s="61" t="s">
        <v>623</v>
      </c>
      <c r="B11" s="62" t="s">
        <v>624</v>
      </c>
      <c r="C11" s="62" t="s">
        <v>625</v>
      </c>
      <c r="D11" s="67" t="s">
        <v>626</v>
      </c>
      <c r="E11" s="64" t="s">
        <v>618</v>
      </c>
      <c r="F11" s="62" t="s">
        <v>627</v>
      </c>
      <c r="G11" s="62" t="s">
        <v>628</v>
      </c>
      <c r="H11" s="62" t="s">
        <v>610</v>
      </c>
      <c r="I11" s="62" t="s">
        <v>594</v>
      </c>
      <c r="J11" s="62" t="s">
        <v>629</v>
      </c>
      <c r="K11" s="62" t="s">
        <v>621</v>
      </c>
      <c r="L11" s="62" t="s">
        <v>630</v>
      </c>
    </row>
    <row r="12" spans="1:12" ht="42" customHeight="1" x14ac:dyDescent="0.35">
      <c r="A12" s="59" t="s">
        <v>631</v>
      </c>
      <c r="B12" s="18" t="s">
        <v>632</v>
      </c>
      <c r="C12" s="18" t="s">
        <v>633</v>
      </c>
      <c r="D12" s="68" t="s">
        <v>483</v>
      </c>
      <c r="E12" s="21" t="s">
        <v>634</v>
      </c>
      <c r="F12" s="18" t="s">
        <v>635</v>
      </c>
      <c r="G12" s="18" t="s">
        <v>636</v>
      </c>
      <c r="H12" s="18" t="s">
        <v>610</v>
      </c>
      <c r="I12" s="18" t="s">
        <v>637</v>
      </c>
      <c r="J12" s="18" t="s">
        <v>638</v>
      </c>
      <c r="K12" s="18" t="s">
        <v>621</v>
      </c>
      <c r="L12" s="18" t="s">
        <v>639</v>
      </c>
    </row>
    <row r="13" spans="1:12" ht="42" customHeight="1" x14ac:dyDescent="0.35">
      <c r="A13" s="61" t="s">
        <v>640</v>
      </c>
      <c r="B13" s="62" t="s">
        <v>641</v>
      </c>
      <c r="C13" s="62" t="s">
        <v>642</v>
      </c>
      <c r="D13" s="60" t="s">
        <v>584</v>
      </c>
      <c r="E13" s="64" t="s">
        <v>584</v>
      </c>
      <c r="F13" s="62" t="s">
        <v>584</v>
      </c>
      <c r="G13" s="62" t="s">
        <v>479</v>
      </c>
      <c r="H13" s="62" t="s">
        <v>643</v>
      </c>
      <c r="I13" s="62" t="s">
        <v>584</v>
      </c>
      <c r="J13" s="62" t="s">
        <v>584</v>
      </c>
      <c r="K13" s="62" t="s">
        <v>584</v>
      </c>
      <c r="L13" s="62" t="s">
        <v>644</v>
      </c>
    </row>
    <row r="15" spans="1:12" ht="19.5" hidden="1" customHeight="1" x14ac:dyDescent="0.35">
      <c r="A15" s="91" t="s">
        <v>645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</row>
    <row r="16" spans="1:12" ht="30" hidden="1" customHeight="1" x14ac:dyDescent="0.35">
      <c r="A16" s="33" t="s">
        <v>646</v>
      </c>
      <c r="B16" s="33" t="s">
        <v>647</v>
      </c>
      <c r="C16" s="33" t="s">
        <v>648</v>
      </c>
      <c r="D16" s="33"/>
      <c r="E16" s="33"/>
      <c r="F16" s="33"/>
      <c r="G16" s="33"/>
      <c r="H16" s="33"/>
      <c r="I16" s="33"/>
      <c r="J16" s="33"/>
      <c r="K16" s="33"/>
      <c r="L16" s="33"/>
    </row>
    <row r="17" spans="1:12" ht="27.75" hidden="1" customHeight="1" x14ac:dyDescent="0.35">
      <c r="A17" s="69" t="s">
        <v>649</v>
      </c>
      <c r="B17" s="18" t="s">
        <v>650</v>
      </c>
      <c r="C17" s="85" t="s">
        <v>651</v>
      </c>
      <c r="D17" s="86"/>
      <c r="E17" s="86"/>
      <c r="F17" s="86"/>
      <c r="G17" s="86"/>
      <c r="H17" s="86"/>
      <c r="I17" s="86"/>
      <c r="J17" s="86"/>
      <c r="K17" s="86"/>
      <c r="L17" s="87"/>
    </row>
    <row r="18" spans="1:12" ht="27.75" hidden="1" customHeight="1" x14ac:dyDescent="0.35">
      <c r="A18" s="70" t="s">
        <v>652</v>
      </c>
      <c r="B18" s="62" t="s">
        <v>653</v>
      </c>
      <c r="C18" s="88" t="s">
        <v>654</v>
      </c>
      <c r="D18" s="89"/>
      <c r="E18" s="89"/>
      <c r="F18" s="89"/>
      <c r="G18" s="89"/>
      <c r="H18" s="89"/>
      <c r="I18" s="89"/>
      <c r="J18" s="89"/>
      <c r="K18" s="89"/>
      <c r="L18" s="90"/>
    </row>
    <row r="19" spans="1:12" ht="27.75" hidden="1" customHeight="1" x14ac:dyDescent="0.35">
      <c r="A19" s="69" t="s">
        <v>655</v>
      </c>
      <c r="B19" s="18" t="s">
        <v>656</v>
      </c>
      <c r="C19" s="85" t="s">
        <v>657</v>
      </c>
      <c r="D19" s="86"/>
      <c r="E19" s="86"/>
      <c r="F19" s="86"/>
      <c r="G19" s="86"/>
      <c r="H19" s="86"/>
      <c r="I19" s="86"/>
      <c r="J19" s="86"/>
      <c r="K19" s="86"/>
      <c r="L19" s="87"/>
    </row>
    <row r="20" spans="1:12" ht="27.75" hidden="1" customHeight="1" x14ac:dyDescent="0.35">
      <c r="A20" s="70" t="s">
        <v>658</v>
      </c>
      <c r="B20" s="62" t="s">
        <v>659</v>
      </c>
      <c r="C20" s="88" t="s">
        <v>660</v>
      </c>
      <c r="D20" s="89"/>
      <c r="E20" s="89"/>
      <c r="F20" s="89"/>
      <c r="G20" s="89"/>
      <c r="H20" s="89"/>
      <c r="I20" s="89"/>
      <c r="J20" s="89"/>
      <c r="K20" s="89"/>
      <c r="L20" s="90"/>
    </row>
    <row r="21" spans="1:12" ht="27.75" hidden="1" customHeight="1" x14ac:dyDescent="0.35">
      <c r="A21" s="69" t="s">
        <v>661</v>
      </c>
      <c r="B21" s="18" t="s">
        <v>662</v>
      </c>
      <c r="C21" s="85" t="s">
        <v>663</v>
      </c>
      <c r="D21" s="86"/>
      <c r="E21" s="86"/>
      <c r="F21" s="86"/>
      <c r="G21" s="86"/>
      <c r="H21" s="86"/>
      <c r="I21" s="86"/>
      <c r="J21" s="86"/>
      <c r="K21" s="86"/>
      <c r="L21" s="87"/>
    </row>
    <row r="22" spans="1:12" ht="27.75" hidden="1" customHeight="1" x14ac:dyDescent="0.35">
      <c r="A22" s="70" t="s">
        <v>664</v>
      </c>
      <c r="B22" s="62" t="s">
        <v>665</v>
      </c>
      <c r="C22" s="88" t="s">
        <v>666</v>
      </c>
      <c r="D22" s="89"/>
      <c r="E22" s="89"/>
      <c r="F22" s="89"/>
      <c r="G22" s="89"/>
      <c r="H22" s="89"/>
      <c r="I22" s="89"/>
      <c r="J22" s="89"/>
      <c r="K22" s="89"/>
      <c r="L22" s="90"/>
    </row>
    <row r="23" spans="1:12" hidden="1" x14ac:dyDescent="0.35"/>
    <row r="24" spans="1:12" ht="30" hidden="1" customHeight="1" x14ac:dyDescent="0.35">
      <c r="A24" s="80" t="s">
        <v>667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</row>
    <row r="26" spans="1:12" ht="19.5" customHeight="1" x14ac:dyDescent="0.35">
      <c r="A26" s="92" t="s">
        <v>780</v>
      </c>
      <c r="B26" s="92"/>
      <c r="C26" s="92"/>
      <c r="D26" s="92"/>
      <c r="E26" s="92"/>
      <c r="F26" s="92"/>
      <c r="G26" s="92"/>
      <c r="H26" s="92"/>
      <c r="I26" s="92"/>
    </row>
    <row r="27" spans="1:12" ht="30" customHeight="1" x14ac:dyDescent="0.35">
      <c r="A27" s="33" t="s">
        <v>581</v>
      </c>
      <c r="B27" s="33" t="s">
        <v>571</v>
      </c>
      <c r="C27" s="33" t="s">
        <v>668</v>
      </c>
      <c r="D27" s="33" t="s">
        <v>669</v>
      </c>
      <c r="E27" s="33" t="s">
        <v>670</v>
      </c>
      <c r="F27" s="33" t="s">
        <v>671</v>
      </c>
      <c r="G27" s="33" t="s">
        <v>672</v>
      </c>
      <c r="H27" s="33" t="s">
        <v>579</v>
      </c>
      <c r="I27" s="33" t="s">
        <v>673</v>
      </c>
    </row>
    <row r="28" spans="1:12" ht="39.75" customHeight="1" x14ac:dyDescent="0.35">
      <c r="A28" s="71" t="s">
        <v>674</v>
      </c>
      <c r="B28" s="18" t="s">
        <v>675</v>
      </c>
      <c r="C28" s="18" t="s">
        <v>591</v>
      </c>
      <c r="D28" s="18" t="s">
        <v>676</v>
      </c>
      <c r="E28" s="18" t="s">
        <v>677</v>
      </c>
      <c r="F28" s="18" t="s">
        <v>678</v>
      </c>
      <c r="G28" s="18" t="s">
        <v>679</v>
      </c>
      <c r="H28" s="18" t="s">
        <v>584</v>
      </c>
      <c r="I28" s="18" t="s">
        <v>680</v>
      </c>
    </row>
    <row r="29" spans="1:12" ht="39.75" customHeight="1" x14ac:dyDescent="0.35">
      <c r="A29" s="72" t="s">
        <v>681</v>
      </c>
      <c r="B29" s="18" t="s">
        <v>682</v>
      </c>
      <c r="C29" s="18" t="s">
        <v>591</v>
      </c>
      <c r="D29" s="18" t="s">
        <v>683</v>
      </c>
      <c r="E29" s="18" t="s">
        <v>684</v>
      </c>
      <c r="F29" s="18" t="s">
        <v>685</v>
      </c>
      <c r="G29" s="18" t="s">
        <v>686</v>
      </c>
      <c r="H29" s="18" t="s">
        <v>687</v>
      </c>
      <c r="I29" s="18" t="s">
        <v>688</v>
      </c>
    </row>
    <row r="30" spans="1:12" ht="39.75" customHeight="1" x14ac:dyDescent="0.35">
      <c r="A30" s="73" t="s">
        <v>689</v>
      </c>
      <c r="B30" s="18" t="s">
        <v>690</v>
      </c>
      <c r="C30" s="18" t="s">
        <v>619</v>
      </c>
      <c r="D30" s="18" t="s">
        <v>691</v>
      </c>
      <c r="E30" s="18" t="s">
        <v>692</v>
      </c>
      <c r="F30" s="18" t="s">
        <v>693</v>
      </c>
      <c r="G30" s="18" t="s">
        <v>694</v>
      </c>
      <c r="H30" s="18" t="s">
        <v>695</v>
      </c>
      <c r="I30" s="18" t="s">
        <v>696</v>
      </c>
    </row>
    <row r="31" spans="1:12" ht="39.75" customHeight="1" x14ac:dyDescent="0.35">
      <c r="A31" s="74" t="s">
        <v>697</v>
      </c>
      <c r="B31" s="18" t="s">
        <v>698</v>
      </c>
      <c r="C31" s="18" t="s">
        <v>627</v>
      </c>
      <c r="D31" s="18" t="s">
        <v>699</v>
      </c>
      <c r="E31" s="18" t="s">
        <v>700</v>
      </c>
      <c r="F31" s="18" t="s">
        <v>701</v>
      </c>
      <c r="G31" s="18" t="s">
        <v>702</v>
      </c>
      <c r="H31" s="18" t="s">
        <v>703</v>
      </c>
      <c r="I31" s="18" t="s">
        <v>704</v>
      </c>
    </row>
    <row r="32" spans="1:12" ht="39.75" customHeight="1" x14ac:dyDescent="0.35">
      <c r="A32" s="75" t="s">
        <v>705</v>
      </c>
      <c r="B32" s="18" t="s">
        <v>706</v>
      </c>
      <c r="C32" s="18" t="s">
        <v>707</v>
      </c>
      <c r="D32" s="18" t="s">
        <v>708</v>
      </c>
      <c r="E32" s="18" t="s">
        <v>637</v>
      </c>
      <c r="F32" s="18" t="s">
        <v>709</v>
      </c>
      <c r="G32" s="18" t="s">
        <v>710</v>
      </c>
      <c r="H32" s="18" t="s">
        <v>711</v>
      </c>
      <c r="I32" s="18" t="s">
        <v>712</v>
      </c>
    </row>
    <row r="34" spans="1:5" ht="19.5" customHeight="1" x14ac:dyDescent="0.35">
      <c r="A34" s="92" t="s">
        <v>781</v>
      </c>
      <c r="B34" s="92"/>
      <c r="C34" s="92"/>
      <c r="D34" s="92"/>
      <c r="E34" s="92"/>
    </row>
    <row r="35" spans="1:5" ht="30" customHeight="1" x14ac:dyDescent="0.35">
      <c r="A35" s="33" t="s">
        <v>713</v>
      </c>
      <c r="B35" s="33" t="s">
        <v>714</v>
      </c>
      <c r="C35" s="33" t="s">
        <v>715</v>
      </c>
      <c r="D35" s="33" t="s">
        <v>716</v>
      </c>
      <c r="E35" s="33" t="s">
        <v>717</v>
      </c>
    </row>
    <row r="36" spans="1:5" ht="24" customHeight="1" x14ac:dyDescent="0.35">
      <c r="A36" s="69" t="s">
        <v>718</v>
      </c>
      <c r="B36" s="18" t="s">
        <v>719</v>
      </c>
      <c r="C36" s="18" t="s">
        <v>720</v>
      </c>
      <c r="D36" s="18" t="s">
        <v>721</v>
      </c>
      <c r="E36" s="18" t="s">
        <v>19</v>
      </c>
    </row>
    <row r="37" spans="1:5" ht="24" customHeight="1" x14ac:dyDescent="0.35">
      <c r="A37" s="70" t="s">
        <v>721</v>
      </c>
      <c r="B37" s="62" t="s">
        <v>722</v>
      </c>
      <c r="C37" s="62" t="s">
        <v>720</v>
      </c>
      <c r="D37" s="62" t="s">
        <v>723</v>
      </c>
      <c r="E37" s="62" t="s">
        <v>19</v>
      </c>
    </row>
    <row r="38" spans="1:5" ht="24" customHeight="1" x14ac:dyDescent="0.35">
      <c r="A38" s="69" t="s">
        <v>723</v>
      </c>
      <c r="B38" s="18" t="s">
        <v>724</v>
      </c>
      <c r="C38" s="18" t="s">
        <v>725</v>
      </c>
      <c r="D38" s="18" t="s">
        <v>726</v>
      </c>
      <c r="E38" s="18" t="s">
        <v>19</v>
      </c>
    </row>
    <row r="39" spans="1:5" ht="24" customHeight="1" x14ac:dyDescent="0.35">
      <c r="A39" s="70" t="s">
        <v>727</v>
      </c>
      <c r="B39" s="62" t="s">
        <v>728</v>
      </c>
      <c r="C39" s="62" t="s">
        <v>725</v>
      </c>
      <c r="D39" s="62" t="s">
        <v>729</v>
      </c>
      <c r="E39" s="62" t="s">
        <v>19</v>
      </c>
    </row>
    <row r="40" spans="1:5" ht="24" customHeight="1" x14ac:dyDescent="0.35">
      <c r="A40" s="69" t="s">
        <v>730</v>
      </c>
      <c r="B40" s="18" t="s">
        <v>731</v>
      </c>
      <c r="C40" s="18" t="s">
        <v>732</v>
      </c>
      <c r="D40" s="18" t="s">
        <v>733</v>
      </c>
      <c r="E40" s="18" t="s">
        <v>734</v>
      </c>
    </row>
    <row r="41" spans="1:5" ht="24" customHeight="1" x14ac:dyDescent="0.35">
      <c r="A41" s="70" t="s">
        <v>735</v>
      </c>
      <c r="B41" s="62" t="s">
        <v>736</v>
      </c>
      <c r="C41" s="62" t="s">
        <v>737</v>
      </c>
      <c r="D41" s="62" t="s">
        <v>738</v>
      </c>
      <c r="E41" s="62" t="s">
        <v>19</v>
      </c>
    </row>
    <row r="42" spans="1:5" ht="24" customHeight="1" x14ac:dyDescent="0.35">
      <c r="A42" s="69" t="s">
        <v>739</v>
      </c>
      <c r="B42" s="18" t="s">
        <v>740</v>
      </c>
      <c r="C42" s="18" t="s">
        <v>737</v>
      </c>
      <c r="D42" s="18" t="s">
        <v>741</v>
      </c>
      <c r="E42" s="18" t="s">
        <v>742</v>
      </c>
    </row>
    <row r="43" spans="1:5" ht="24" customHeight="1" x14ac:dyDescent="0.35">
      <c r="A43" s="70" t="s">
        <v>741</v>
      </c>
      <c r="B43" s="62" t="s">
        <v>743</v>
      </c>
      <c r="C43" s="62" t="s">
        <v>737</v>
      </c>
      <c r="D43" s="62" t="s">
        <v>723</v>
      </c>
      <c r="E43" s="62" t="s">
        <v>744</v>
      </c>
    </row>
  </sheetData>
  <mergeCells count="13">
    <mergeCell ref="A15:L15"/>
    <mergeCell ref="A34:E34"/>
    <mergeCell ref="A26:I26"/>
    <mergeCell ref="A24:L24"/>
    <mergeCell ref="C17:L17"/>
    <mergeCell ref="C18:L18"/>
    <mergeCell ref="C19:L19"/>
    <mergeCell ref="C20:L20"/>
    <mergeCell ref="C21:L21"/>
    <mergeCell ref="C22:L22"/>
    <mergeCell ref="A1:L1"/>
    <mergeCell ref="A2:L2"/>
    <mergeCell ref="A4:L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"/>
  <sheetViews>
    <sheetView zoomScaleNormal="100" workbookViewId="0"/>
  </sheetViews>
  <sheetFormatPr defaultColWidth="8.6328125" defaultRowHeight="14.5" x14ac:dyDescent="0.35"/>
  <cols>
    <col min="1" max="1" width="6" customWidth="1"/>
    <col min="2" max="2" width="9" customWidth="1"/>
    <col min="3" max="3" width="26" customWidth="1"/>
    <col min="4" max="4" width="18" customWidth="1"/>
    <col min="5" max="5" width="10" customWidth="1"/>
    <col min="6" max="6" width="40" customWidth="1"/>
    <col min="7" max="7" width="54" customWidth="1"/>
    <col min="8" max="8" width="20" customWidth="1"/>
    <col min="9" max="9" width="13" hidden="1" customWidth="1"/>
  </cols>
  <sheetData>
    <row r="1" spans="1:5" ht="323.25" customHeight="1" x14ac:dyDescent="0.35">
      <c r="A1" s="76" t="s">
        <v>745</v>
      </c>
    </row>
    <row r="2" spans="1:5" ht="273" customHeight="1" x14ac:dyDescent="0.35">
      <c r="A2" s="77" t="s">
        <v>746</v>
      </c>
    </row>
    <row r="4" spans="1:5" ht="68.25" customHeight="1" x14ac:dyDescent="0.35">
      <c r="A4" s="43" t="s">
        <v>747</v>
      </c>
    </row>
    <row r="5" spans="1:5" ht="23.25" customHeight="1" x14ac:dyDescent="0.35">
      <c r="A5" s="43" t="s">
        <v>748</v>
      </c>
      <c r="B5" s="58" t="s">
        <v>749</v>
      </c>
      <c r="C5" s="58" t="s">
        <v>750</v>
      </c>
      <c r="D5" s="58" t="s">
        <v>715</v>
      </c>
      <c r="E5" s="58" t="s">
        <v>751</v>
      </c>
    </row>
    <row r="6" spans="1:5" ht="21.75" customHeight="1" x14ac:dyDescent="0.35">
      <c r="A6" s="43" t="s">
        <v>550</v>
      </c>
      <c r="B6" s="58" t="s">
        <v>752</v>
      </c>
      <c r="C6" s="58" t="s">
        <v>753</v>
      </c>
      <c r="D6" s="58" t="s">
        <v>591</v>
      </c>
      <c r="E6" s="58" t="s">
        <v>754</v>
      </c>
    </row>
    <row r="7" spans="1:5" ht="32.25" customHeight="1" x14ac:dyDescent="0.35">
      <c r="A7" s="43" t="s">
        <v>553</v>
      </c>
      <c r="B7" s="58" t="s">
        <v>755</v>
      </c>
      <c r="C7" s="58" t="s">
        <v>756</v>
      </c>
      <c r="D7" s="58" t="s">
        <v>591</v>
      </c>
      <c r="E7" s="58" t="s">
        <v>757</v>
      </c>
    </row>
    <row r="8" spans="1:5" ht="32.25" customHeight="1" x14ac:dyDescent="0.35">
      <c r="A8" s="43" t="s">
        <v>556</v>
      </c>
      <c r="B8" s="58" t="s">
        <v>758</v>
      </c>
      <c r="C8" s="58" t="s">
        <v>759</v>
      </c>
      <c r="D8" s="58" t="s">
        <v>619</v>
      </c>
      <c r="E8" s="58" t="s">
        <v>760</v>
      </c>
    </row>
    <row r="9" spans="1:5" ht="32.25" customHeight="1" x14ac:dyDescent="0.35">
      <c r="A9" s="43" t="s">
        <v>559</v>
      </c>
      <c r="B9" s="58" t="s">
        <v>761</v>
      </c>
      <c r="C9" s="58" t="s">
        <v>762</v>
      </c>
      <c r="D9" s="58" t="s">
        <v>627</v>
      </c>
      <c r="E9" s="58" t="s">
        <v>763</v>
      </c>
    </row>
    <row r="10" spans="1:5" ht="32.25" customHeight="1" x14ac:dyDescent="0.35">
      <c r="A10" s="43" t="s">
        <v>483</v>
      </c>
      <c r="B10" s="58" t="s">
        <v>764</v>
      </c>
      <c r="C10" s="58" t="s">
        <v>765</v>
      </c>
      <c r="D10" s="58" t="s">
        <v>227</v>
      </c>
      <c r="E10" s="58" t="s">
        <v>637</v>
      </c>
    </row>
    <row r="11" spans="1:5" ht="53.25" customHeight="1" x14ac:dyDescent="0.35">
      <c r="A11" s="43" t="s">
        <v>766</v>
      </c>
      <c r="B11" s="58" t="s">
        <v>767</v>
      </c>
      <c r="C11" s="58" t="s">
        <v>768</v>
      </c>
      <c r="D11" s="58" t="s">
        <v>227</v>
      </c>
      <c r="E11" s="58" t="s">
        <v>637</v>
      </c>
    </row>
    <row r="13" spans="1:5" ht="90.75" customHeight="1" x14ac:dyDescent="0.35">
      <c r="A13" s="43" t="s">
        <v>769</v>
      </c>
    </row>
    <row r="14" spans="1:5" ht="202.5" customHeight="1" x14ac:dyDescent="0.35">
      <c r="A14" s="43" t="s">
        <v>770</v>
      </c>
    </row>
    <row r="15" spans="1:5" ht="270" customHeight="1" x14ac:dyDescent="0.35">
      <c r="A15" s="43" t="s">
        <v>771</v>
      </c>
    </row>
    <row r="16" spans="1:5" ht="303" customHeight="1" x14ac:dyDescent="0.35">
      <c r="A16" s="43" t="s">
        <v>772</v>
      </c>
    </row>
    <row r="17" spans="1:9" ht="270" customHeight="1" x14ac:dyDescent="0.35">
      <c r="A17" s="43" t="s">
        <v>773</v>
      </c>
    </row>
    <row r="18" spans="1:9" ht="270" customHeight="1" x14ac:dyDescent="0.35">
      <c r="A18" s="43" t="s">
        <v>774</v>
      </c>
    </row>
    <row r="20" spans="1:9" ht="236.25" customHeight="1" x14ac:dyDescent="0.35">
      <c r="A20" s="43" t="s">
        <v>775</v>
      </c>
    </row>
    <row r="21" spans="1:9" ht="15" customHeight="1" x14ac:dyDescent="0.35">
      <c r="A21" s="33" t="s">
        <v>776</v>
      </c>
      <c r="B21" s="33" t="s">
        <v>0</v>
      </c>
      <c r="C21" s="33" t="s">
        <v>2</v>
      </c>
      <c r="D21" s="33" t="s">
        <v>4</v>
      </c>
      <c r="E21" s="33" t="s">
        <v>530</v>
      </c>
      <c r="F21" s="33" t="s">
        <v>198</v>
      </c>
      <c r="G21" s="33" t="s">
        <v>199</v>
      </c>
      <c r="H21" s="33" t="s">
        <v>200</v>
      </c>
      <c r="I21" t="s">
        <v>777</v>
      </c>
    </row>
    <row r="22" spans="1:9" ht="69.75" customHeight="1" x14ac:dyDescent="0.35">
      <c r="A22" s="21">
        <v>1</v>
      </c>
      <c r="B22" s="21" t="s">
        <v>171</v>
      </c>
      <c r="C22" s="18" t="s">
        <v>172</v>
      </c>
      <c r="D22" s="18" t="s">
        <v>18</v>
      </c>
      <c r="E22" s="21">
        <v>60</v>
      </c>
      <c r="F22" s="18" t="str">
        <f>IFERROR(INDEX('Scoring Engine (Rules)'!$O$5:$O$89,MATCH($B22&amp;"|"&amp;$I22,'Scoring Engine (Rules)'!$R$5:$R$89,0)),"")</f>
        <v>Elevated concern — two overdue events; a pattern forming.</v>
      </c>
      <c r="G22" s="18" t="str">
        <f>IFERROR(INDEX('Scoring Engine (Rules)'!$P$5:$P$89,MATCH($B22&amp;"|"&amp;$I22,'Scoring Engine (Rules)'!$R$5:$R$89,0)),"")</f>
        <v>1) Obtain a written explanation. 2) Enforce due-date discipline. 3) Place on the watch-list.</v>
      </c>
      <c r="H22" s="18" t="str">
        <f>IFERROR(INDEX('Scoring Engine (Rules)'!$Q$5:$Q$89,MATCH($B22&amp;"|"&amp;$I22,'Scoring Engine (Rules)'!$R$5:$R$89,0)),"")</f>
        <v>RM + Credit Analyst</v>
      </c>
      <c r="I22">
        <v>15</v>
      </c>
    </row>
    <row r="23" spans="1:9" ht="69.75" customHeight="1" x14ac:dyDescent="0.35">
      <c r="A23" s="21">
        <v>2</v>
      </c>
      <c r="B23" s="21" t="s">
        <v>33</v>
      </c>
      <c r="C23" s="18" t="s">
        <v>34</v>
      </c>
      <c r="D23" s="18" t="s">
        <v>36</v>
      </c>
      <c r="E23" s="21">
        <v>57.1</v>
      </c>
      <c r="F23" s="18" t="str">
        <f>IFERROR(INDEX('Scoring Engine (Rules)'!$O$5:$O$89,MATCH($B23&amp;"|"&amp;$I23,'Scoring Engine (Rules)'!$R$5:$R$89,0)),"")</f>
        <v>Elevated concern — down 20–40%; material fall — demand loss or diversion of billing.</v>
      </c>
      <c r="G23" s="18" t="str">
        <f>IFERROR(INDEX('Scoring Engine (Rules)'!$P$5:$P$89,MATCH($B23&amp;"|"&amp;$I23,'Scoring Engine (Rules)'!$R$5:$R$89,0)),"")</f>
        <v>1) Reassess WC and projections. 2) Investigate under-reporting/diversion. 3) Enhanced monitoring; flag to Credit.</v>
      </c>
      <c r="H23" s="18" t="str">
        <f>IFERROR(INDEX('Scoring Engine (Rules)'!$Q$5:$Q$89,MATCH($B23&amp;"|"&amp;$I23,'Scoring Engine (Rules)'!$R$5:$R$89,0)),"")</f>
        <v>RM + Credit Analyst</v>
      </c>
      <c r="I23">
        <v>20</v>
      </c>
    </row>
    <row r="24" spans="1:9" ht="69.75" customHeight="1" x14ac:dyDescent="0.35">
      <c r="A24" s="21">
        <v>3</v>
      </c>
      <c r="B24" s="21" t="s">
        <v>52</v>
      </c>
      <c r="C24" s="18" t="s">
        <v>53</v>
      </c>
      <c r="D24" s="18" t="s">
        <v>36</v>
      </c>
      <c r="E24" s="21">
        <v>57.1</v>
      </c>
      <c r="F24" s="18" t="str">
        <f>IFERROR(INDEX('Scoring Engine (Rules)'!$O$5:$O$89,MATCH($B24&amp;"|"&amp;$I24,'Scoring Engine (Rules)'!$R$5:$R$89,0)),"")</f>
        <v>Elevated concern — current ratio 1.00–1.09; thin liquidity buffer.</v>
      </c>
      <c r="G24" s="18" t="str">
        <f>IFERROR(INDEX('Scoring Engine (Rules)'!$P$5:$P$89,MATCH($B24&amp;"|"&amp;$I24,'Scoring Engine (Rules)'!$R$5:$R$89,0)),"")</f>
        <v>1) Assess NWC adequacy; seek promoter infusion. 2) Enhanced monitoring. 3) Flag to Credit.</v>
      </c>
      <c r="H24" s="18" t="str">
        <f>IFERROR(INDEX('Scoring Engine (Rules)'!$Q$5:$Q$89,MATCH($B24&amp;"|"&amp;$I24,'Scoring Engine (Rules)'!$R$5:$R$89,0)),"")</f>
        <v>RM + Credit Analyst</v>
      </c>
      <c r="I24">
        <v>20</v>
      </c>
    </row>
    <row r="25" spans="1:9" ht="69.75" customHeight="1" x14ac:dyDescent="0.35">
      <c r="A25" s="21">
        <v>4</v>
      </c>
      <c r="B25" s="21" t="s">
        <v>43</v>
      </c>
      <c r="C25" s="18" t="s">
        <v>44</v>
      </c>
      <c r="D25" s="18" t="s">
        <v>36</v>
      </c>
      <c r="E25" s="21">
        <v>37.5</v>
      </c>
      <c r="F25" s="18" t="str">
        <f>IFERROR(INDEX('Scoring Engine (Rules)'!$O$5:$O$89,MATCH($B25&amp;"|"&amp;$I25,'Scoring Engine (Rules)'!$R$5:$R$89,0)),"")</f>
        <v>Elevated concern — one negative CFO period; isolated — watch for persistence.</v>
      </c>
      <c r="G25" s="18" t="str">
        <f>IFERROR(INDEX('Scoring Engine (Rules)'!$P$5:$P$89,MATCH($B25&amp;"|"&amp;$I25,'Scoring Engine (Rules)'!$R$5:$R$89,0)),"")</f>
        <v>1) Analyse the CFO driver (WC swing vs loss). 2) Obtain an explanation. 3) Monitor next period.</v>
      </c>
      <c r="H25" s="18" t="str">
        <f>IFERROR(INDEX('Scoring Engine (Rules)'!$Q$5:$Q$89,MATCH($B25&amp;"|"&amp;$I25,'Scoring Engine (Rules)'!$R$5:$R$89,0)),"")</f>
        <v>RM + Credit Analyst</v>
      </c>
      <c r="I25">
        <v>15</v>
      </c>
    </row>
    <row r="26" spans="1:9" ht="69.75" customHeight="1" x14ac:dyDescent="0.35">
      <c r="A26" s="21">
        <v>5</v>
      </c>
      <c r="B26" s="21" t="s">
        <v>79</v>
      </c>
      <c r="C26" s="18" t="s">
        <v>80</v>
      </c>
      <c r="D26" s="18" t="s">
        <v>82</v>
      </c>
      <c r="E26" s="21">
        <v>37.5</v>
      </c>
      <c r="F26" s="18" t="str">
        <f>IFERROR(INDEX('Scoring Engine (Rules)'!$O$5:$O$89,MATCH($B26&amp;"|"&amp;$I26,'Scoring Engine (Rules)'!$R$5:$R$89,0)),"")</f>
        <v>Elevated concern — an informal restructuring/moratorium enquiry; early stress signal.</v>
      </c>
      <c r="G26" s="18" t="str">
        <f>IFERROR(INDEX('Scoring Engine (Rules)'!$P$5:$P$89,MATCH($B26&amp;"|"&amp;$I26,'Scoring Engine (Rules)'!$R$5:$R$89,0)),"")</f>
        <v>1) Obtain the rationale; assess genuine stress vs willful. 2) Seek cash-flow data. 3) Monitor.</v>
      </c>
      <c r="H26" s="18" t="str">
        <f>IFERROR(INDEX('Scoring Engine (Rules)'!$Q$5:$Q$89,MATCH($B26&amp;"|"&amp;$I26,'Scoring Engine (Rules)'!$R$5:$R$89,0)),"")</f>
        <v>RM + Credit Analyst</v>
      </c>
      <c r="I26">
        <v>15</v>
      </c>
    </row>
    <row r="27" spans="1:9" ht="69.75" customHeight="1" x14ac:dyDescent="0.35">
      <c r="A27" s="21">
        <v>6</v>
      </c>
      <c r="B27" s="21" t="s">
        <v>87</v>
      </c>
      <c r="C27" s="18" t="s">
        <v>88</v>
      </c>
      <c r="D27" s="18" t="s">
        <v>90</v>
      </c>
      <c r="E27" s="21">
        <v>37.5</v>
      </c>
      <c r="F27" s="18" t="str">
        <f>IFERROR(INDEX('Scoring Engine (Rules)'!$O$5:$O$89,MATCH($B27&amp;"|"&amp;$I27,'Scoring Engine (Rules)'!$R$5:$R$89,0)),"")</f>
        <v>Elevated concern — a minor shortfall or lapse in cover; top-up needed.</v>
      </c>
      <c r="G27" s="18" t="str">
        <f>IFERROR(INDEX('Scoring Engine (Rules)'!$P$5:$P$89,MATCH($B27&amp;"|"&amp;$I27,'Scoring Engine (Rules)'!$R$5:$R$89,0)),"")</f>
        <v>1) Revalue security; seek a top-up. 2) Adjust DP to available cover. 3) Monitor to closure.</v>
      </c>
      <c r="H27" s="18" t="str">
        <f>IFERROR(INDEX('Scoring Engine (Rules)'!$Q$5:$Q$89,MATCH($B27&amp;"|"&amp;$I27,'Scoring Engine (Rules)'!$R$5:$R$89,0)),"")</f>
        <v>RM + Credit Analyst</v>
      </c>
      <c r="I27">
        <v>15</v>
      </c>
    </row>
    <row r="28" spans="1:9" ht="69.75" customHeight="1" x14ac:dyDescent="0.35">
      <c r="A28" s="21">
        <v>7</v>
      </c>
      <c r="B28" s="21" t="s">
        <v>96</v>
      </c>
      <c r="C28" s="18" t="s">
        <v>97</v>
      </c>
      <c r="D28" s="18" t="s">
        <v>90</v>
      </c>
      <c r="E28" s="21">
        <v>37.5</v>
      </c>
      <c r="F28" s="18" t="str">
        <f>IFERROR(INDEX('Scoring Engine (Rules)'!$O$5:$O$89,MATCH($B28&amp;"|"&amp;$I28,'Scoring Engine (Rules)'!$R$5:$R$89,0)),"")</f>
        <v>Elevated concern — a minor lapse or approaching expiry; renewal needed.</v>
      </c>
      <c r="G28" s="18" t="str">
        <f>IFERROR(INDEX('Scoring Engine (Rules)'!$P$5:$P$89,MATCH($B28&amp;"|"&amp;$I28,'Scoring Engine (Rules)'!$R$5:$R$89,0)),"")</f>
        <v>1) Follow up for renewal with the bank clause; note the expiry. 2) Obtain the policy. 3) Monitor.</v>
      </c>
      <c r="H28" s="18" t="str">
        <f>IFERROR(INDEX('Scoring Engine (Rules)'!$Q$5:$Q$89,MATCH($B28&amp;"|"&amp;$I28,'Scoring Engine (Rules)'!$R$5:$R$89,0)),"")</f>
        <v>RM + Credit Analyst</v>
      </c>
      <c r="I28">
        <v>15</v>
      </c>
    </row>
    <row r="29" spans="1:9" ht="69.75" customHeight="1" x14ac:dyDescent="0.35">
      <c r="A29" s="21">
        <v>8</v>
      </c>
      <c r="B29" s="21" t="s">
        <v>27</v>
      </c>
      <c r="C29" s="18" t="s">
        <v>28</v>
      </c>
      <c r="D29" s="18" t="s">
        <v>18</v>
      </c>
      <c r="E29" s="21">
        <v>33.299999999999997</v>
      </c>
      <c r="F29" s="18" t="str">
        <f>IFERROR(INDEX('Scoring Engine (Rules)'!$O$5:$O$89,MATCH($B29&amp;"|"&amp;$I29,'Scoring Engine (Rules)'!$R$5:$R$89,0)),"")</f>
        <v>Early warning — excess up to 5%; minor, likely a timing over-draw.</v>
      </c>
      <c r="G29" s="18" t="str">
        <f>IFERROR(INDEX('Scoring Engine (Rules)'!$P$5:$P$89,MATCH($B29&amp;"|"&amp;$I29,'Scoring Engine (Rules)'!$R$5:$R$89,0)),"")</f>
        <v>1) Regularise the excess promptly. 2) Ascertain the reason. 3) Allow no fresh excess.</v>
      </c>
      <c r="H29" s="18" t="str">
        <f>IFERROR(INDEX('Scoring Engine (Rules)'!$Q$5:$Q$89,MATCH($B29&amp;"|"&amp;$I29,'Scoring Engine (Rules)'!$R$5:$R$89,0)),"")</f>
        <v>RM + Credit Analyst</v>
      </c>
      <c r="I29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Indicator Master</vt:lpstr>
      <vt:lpstr>Functional Logic</vt:lpstr>
      <vt:lpstr>Scoring Engine (Rules)</vt:lpstr>
      <vt:lpstr>Overall Score Engine</vt:lpstr>
      <vt:lpstr>Borrower Example</vt:lpstr>
      <vt:lpstr>Risk Bands (Config)</vt:lpstr>
      <vt:lpstr>Alert Lifecycle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Aakansh Srivastava</dc:creator>
  <dc:description/>
  <cp:lastModifiedBy>Aakansh Srivastava</cp:lastModifiedBy>
  <cp:revision>0</cp:revision>
  <dcterms:created xsi:type="dcterms:W3CDTF">2026-09-03T11:21:13Z</dcterms:created>
  <dcterms:modified xsi:type="dcterms:W3CDTF">2026-09-09T12:32:23Z</dcterms:modified>
  <dc:language>en-US</dc:language>
</cp:coreProperties>
</file>