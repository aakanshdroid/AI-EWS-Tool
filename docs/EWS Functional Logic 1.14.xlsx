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cuments\"/>
    </mc:Choice>
  </mc:AlternateContent>
  <xr:revisionPtr revIDLastSave="0" documentId="13_ncr:1_{73B3158F-FF13-4667-95A8-B8526DE6CB0E}" xr6:coauthVersionLast="47" xr6:coauthVersionMax="47" xr10:uidLastSave="{00000000-0000-0000-0000-000000000000}"/>
  <bookViews>
    <workbookView xWindow="-110" yWindow="-110" windowWidth="19420" windowHeight="10300" tabRatio="500" firstSheet="2" activeTab="2" xr2:uid="{00000000-000D-0000-FFFF-FFFF00000000}"/>
  </bookViews>
  <sheets>
    <sheet name="README" sheetId="1" r:id="rId1"/>
    <sheet name="Indicator Master" sheetId="2" r:id="rId2"/>
    <sheet name="Functional Logic" sheetId="3" r:id="rId3"/>
    <sheet name="Scoring Engine (Rules)" sheetId="4" r:id="rId4"/>
    <sheet name="Overall Score Engine" sheetId="5" r:id="rId5"/>
    <sheet name="Borrower Example" sheetId="6" r:id="rId6"/>
    <sheet name="Risk Bands (Config)" sheetId="7" r:id="rId7"/>
    <sheet name="Alert Lifecycle" sheetId="8" r:id="rId8"/>
    <sheet name="Recommendations" sheetId="9" r:id="rId9"/>
  </sheets>
  <definedNames>
    <definedName name="_xlnm._FilterDatabase" localSheetId="3" hidden="1">'Scoring Engine (Rules)'!$A$4:$Q$160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3" i="6" l="1"/>
  <c r="A12" i="6"/>
  <c r="A11" i="6"/>
  <c r="C76" i="5"/>
  <c r="C13" i="6" s="1"/>
  <c r="B76" i="5"/>
  <c r="B13" i="6" s="1"/>
  <c r="C75" i="5"/>
  <c r="C12" i="6" s="1"/>
  <c r="B75" i="5"/>
  <c r="B12" i="6" s="1"/>
  <c r="C74" i="5"/>
  <c r="C11" i="6" s="1"/>
  <c r="B74" i="5"/>
  <c r="B11" i="6" s="1"/>
  <c r="B69" i="5"/>
  <c r="J65" i="5"/>
  <c r="K65" i="5" s="1"/>
  <c r="E65" i="5"/>
  <c r="L65" i="5" s="1"/>
  <c r="D65" i="5"/>
  <c r="J64" i="5"/>
  <c r="E64" i="5"/>
  <c r="D64" i="5"/>
  <c r="J63" i="5"/>
  <c r="E63" i="5"/>
  <c r="K63" i="5" s="1"/>
  <c r="D63" i="5"/>
  <c r="J62" i="5"/>
  <c r="E62" i="5"/>
  <c r="D62" i="5"/>
  <c r="L62" i="5" s="1"/>
  <c r="J61" i="5"/>
  <c r="E61" i="5"/>
  <c r="D61" i="5"/>
  <c r="L61" i="5" s="1"/>
  <c r="J60" i="5"/>
  <c r="E60" i="5"/>
  <c r="D60" i="5"/>
  <c r="J59" i="5"/>
  <c r="E59" i="5"/>
  <c r="D59" i="5"/>
  <c r="J58" i="5"/>
  <c r="E58" i="5"/>
  <c r="K58" i="5" s="1"/>
  <c r="D58" i="5"/>
  <c r="J57" i="5"/>
  <c r="E57" i="5"/>
  <c r="L57" i="5" s="1"/>
  <c r="D57" i="5"/>
  <c r="J56" i="5"/>
  <c r="K56" i="5" s="1"/>
  <c r="E56" i="5"/>
  <c r="D56" i="5"/>
  <c r="L56" i="5" s="1"/>
  <c r="J55" i="5"/>
  <c r="E55" i="5"/>
  <c r="K55" i="5" s="1"/>
  <c r="D55" i="5"/>
  <c r="L55" i="5" s="1"/>
  <c r="J54" i="5"/>
  <c r="E54" i="5"/>
  <c r="D54" i="5"/>
  <c r="L54" i="5" s="1"/>
  <c r="J53" i="5"/>
  <c r="E53" i="5"/>
  <c r="D53" i="5"/>
  <c r="L53" i="5" s="1"/>
  <c r="O52" i="5"/>
  <c r="N52" i="5"/>
  <c r="K52" i="5"/>
  <c r="J52" i="5"/>
  <c r="P52" i="5" s="1"/>
  <c r="E52" i="5"/>
  <c r="L52" i="5" s="1"/>
  <c r="D52" i="5"/>
  <c r="J51" i="5"/>
  <c r="E51" i="5"/>
  <c r="D51" i="5"/>
  <c r="K50" i="5"/>
  <c r="J50" i="5"/>
  <c r="E50" i="5"/>
  <c r="D50" i="5"/>
  <c r="L50" i="5" s="1"/>
  <c r="J49" i="5"/>
  <c r="K49" i="5" s="1"/>
  <c r="E49" i="5"/>
  <c r="D49" i="5"/>
  <c r="J48" i="5"/>
  <c r="K48" i="5" s="1"/>
  <c r="E48" i="5"/>
  <c r="D48" i="5"/>
  <c r="L48" i="5" s="1"/>
  <c r="J47" i="5"/>
  <c r="E47" i="5"/>
  <c r="K47" i="5" s="1"/>
  <c r="D47" i="5"/>
  <c r="O46" i="5"/>
  <c r="L46" i="5"/>
  <c r="J46" i="5"/>
  <c r="N46" i="5" s="1"/>
  <c r="E46" i="5"/>
  <c r="D46" i="5"/>
  <c r="P45" i="5"/>
  <c r="J45" i="5"/>
  <c r="O45" i="5" s="1"/>
  <c r="E45" i="5"/>
  <c r="D45" i="5"/>
  <c r="L45" i="5" s="1"/>
  <c r="O44" i="5"/>
  <c r="N44" i="5"/>
  <c r="K44" i="5"/>
  <c r="J44" i="5"/>
  <c r="P44" i="5" s="1"/>
  <c r="E44" i="5"/>
  <c r="L44" i="5" s="1"/>
  <c r="D44" i="5"/>
  <c r="J43" i="5"/>
  <c r="E43" i="5"/>
  <c r="D43" i="5"/>
  <c r="J42" i="5"/>
  <c r="E42" i="5"/>
  <c r="K42" i="5" s="1"/>
  <c r="D42" i="5"/>
  <c r="L42" i="5" s="1"/>
  <c r="J41" i="5"/>
  <c r="K41" i="5" s="1"/>
  <c r="E41" i="5"/>
  <c r="D41" i="5"/>
  <c r="J40" i="5"/>
  <c r="K40" i="5" s="1"/>
  <c r="E40" i="5"/>
  <c r="D40" i="5"/>
  <c r="L40" i="5" s="1"/>
  <c r="P39" i="5"/>
  <c r="N39" i="5"/>
  <c r="K39" i="5"/>
  <c r="J39" i="5"/>
  <c r="O39" i="5" s="1"/>
  <c r="E39" i="5"/>
  <c r="D39" i="5"/>
  <c r="L39" i="5" s="1"/>
  <c r="O38" i="5"/>
  <c r="J38" i="5"/>
  <c r="N38" i="5" s="1"/>
  <c r="E38" i="5"/>
  <c r="L38" i="5" s="1"/>
  <c r="D38" i="5"/>
  <c r="J37" i="5"/>
  <c r="E37" i="5"/>
  <c r="D37" i="5"/>
  <c r="L37" i="5" s="1"/>
  <c r="J36" i="5"/>
  <c r="E36" i="5"/>
  <c r="L36" i="5" s="1"/>
  <c r="D36" i="5"/>
  <c r="J35" i="5"/>
  <c r="E35" i="5"/>
  <c r="D35" i="5"/>
  <c r="K34" i="5"/>
  <c r="J34" i="5"/>
  <c r="E76" i="5" s="1"/>
  <c r="E13" i="6" s="1"/>
  <c r="E34" i="5"/>
  <c r="D34" i="5"/>
  <c r="L34" i="5" s="1"/>
  <c r="J33" i="5"/>
  <c r="E33" i="5"/>
  <c r="E74" i="5" s="1"/>
  <c r="E11" i="6" s="1"/>
  <c r="D33" i="5"/>
  <c r="J32" i="5"/>
  <c r="E32" i="5"/>
  <c r="D32" i="5"/>
  <c r="L32" i="5" s="1"/>
  <c r="J31" i="5"/>
  <c r="D76" i="5" s="1"/>
  <c r="E31" i="5"/>
  <c r="K31" i="5" s="1"/>
  <c r="D31" i="5"/>
  <c r="L31" i="5" s="1"/>
  <c r="J30" i="5"/>
  <c r="E30" i="5"/>
  <c r="D30" i="5"/>
  <c r="L30" i="5" s="1"/>
  <c r="J29" i="5"/>
  <c r="E29" i="5"/>
  <c r="D29" i="5"/>
  <c r="J28" i="5"/>
  <c r="E28" i="5"/>
  <c r="L28" i="5" s="1"/>
  <c r="D28" i="5"/>
  <c r="J27" i="5"/>
  <c r="E27" i="5"/>
  <c r="D27" i="5"/>
  <c r="J26" i="5"/>
  <c r="E26" i="5"/>
  <c r="K26" i="5" s="1"/>
  <c r="D26" i="5"/>
  <c r="J25" i="5"/>
  <c r="E25" i="5"/>
  <c r="D25" i="5"/>
  <c r="J24" i="5"/>
  <c r="E24" i="5"/>
  <c r="D24" i="5"/>
  <c r="K23" i="5"/>
  <c r="J23" i="5"/>
  <c r="B9" i="5" s="1"/>
  <c r="E23" i="5"/>
  <c r="D23" i="5"/>
  <c r="L23" i="5" s="1"/>
  <c r="B11" i="5"/>
  <c r="B10" i="5"/>
  <c r="B8" i="5"/>
  <c r="B7" i="5"/>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K24" i="5" l="1"/>
  <c r="E75" i="5"/>
  <c r="E12" i="6" s="1"/>
  <c r="L64" i="5"/>
  <c r="L25" i="5"/>
  <c r="K25" i="5"/>
  <c r="K32" i="5"/>
  <c r="L41" i="5"/>
  <c r="L47" i="5"/>
  <c r="L49" i="5"/>
  <c r="L58" i="5"/>
  <c r="L60" i="5"/>
  <c r="D75" i="5"/>
  <c r="F75" i="5" s="1"/>
  <c r="F12" i="6" s="1"/>
  <c r="K57" i="5"/>
  <c r="K64" i="5"/>
  <c r="L26" i="5"/>
  <c r="L63" i="5"/>
  <c r="L24" i="5"/>
  <c r="D74" i="5"/>
  <c r="L29" i="5"/>
  <c r="K33" i="5"/>
  <c r="O29" i="5"/>
  <c r="P59" i="5"/>
  <c r="N62" i="5"/>
  <c r="N30" i="5"/>
  <c r="O37" i="5"/>
  <c r="P43" i="5"/>
  <c r="P51" i="5"/>
  <c r="O55" i="5"/>
  <c r="H29" i="9"/>
  <c r="O53" i="5"/>
  <c r="P60" i="5"/>
  <c r="P28" i="5"/>
  <c r="P35" i="5"/>
  <c r="O47" i="5"/>
  <c r="O63" i="5"/>
  <c r="N54" i="5"/>
  <c r="O61" i="5"/>
  <c r="D13" i="6"/>
  <c r="F76" i="5"/>
  <c r="F13" i="6" s="1"/>
  <c r="D12" i="6"/>
  <c r="M23" i="5"/>
  <c r="M24" i="5" s="1"/>
  <c r="F74" i="5"/>
  <c r="D11" i="6"/>
  <c r="B12" i="5"/>
  <c r="N23" i="5"/>
  <c r="P29" i="5"/>
  <c r="O30" i="5"/>
  <c r="N31" i="5"/>
  <c r="L33" i="5"/>
  <c r="P37" i="5"/>
  <c r="N47" i="5"/>
  <c r="P53" i="5"/>
  <c r="O54" i="5"/>
  <c r="N55" i="5"/>
  <c r="P61" i="5"/>
  <c r="O62" i="5"/>
  <c r="N63" i="5"/>
  <c r="F22" i="9"/>
  <c r="H24" i="9"/>
  <c r="G27" i="9"/>
  <c r="O23" i="5"/>
  <c r="N24" i="5"/>
  <c r="K27" i="5"/>
  <c r="P30" i="5"/>
  <c r="O31" i="5"/>
  <c r="N32" i="5"/>
  <c r="K35" i="5"/>
  <c r="P38" i="5"/>
  <c r="N40" i="5"/>
  <c r="K43" i="5"/>
  <c r="P46" i="5"/>
  <c r="N48" i="5"/>
  <c r="K51" i="5"/>
  <c r="P54" i="5"/>
  <c r="N56" i="5"/>
  <c r="K59" i="5"/>
  <c r="P62" i="5"/>
  <c r="N64" i="5"/>
  <c r="G22" i="9"/>
  <c r="F25" i="9"/>
  <c r="H27" i="9"/>
  <c r="P23" i="5"/>
  <c r="O24" i="5"/>
  <c r="N25" i="5"/>
  <c r="L27" i="5"/>
  <c r="K28" i="5"/>
  <c r="P31" i="5"/>
  <c r="O32" i="5"/>
  <c r="N33" i="5"/>
  <c r="L35" i="5"/>
  <c r="K36" i="5"/>
  <c r="O40" i="5"/>
  <c r="N41" i="5"/>
  <c r="L43" i="5"/>
  <c r="P47" i="5"/>
  <c r="O48" i="5"/>
  <c r="N49" i="5"/>
  <c r="L51" i="5"/>
  <c r="P55" i="5"/>
  <c r="O56" i="5"/>
  <c r="N57" i="5"/>
  <c r="L59" i="5"/>
  <c r="K60" i="5"/>
  <c r="P63" i="5"/>
  <c r="O64" i="5"/>
  <c r="N65" i="5"/>
  <c r="H22" i="9"/>
  <c r="G25" i="9"/>
  <c r="F28" i="9"/>
  <c r="P24" i="5"/>
  <c r="O25" i="5"/>
  <c r="N26" i="5"/>
  <c r="K29" i="5"/>
  <c r="P32" i="5"/>
  <c r="O33" i="5"/>
  <c r="N34" i="5"/>
  <c r="K37" i="5"/>
  <c r="P40" i="5"/>
  <c r="O41" i="5"/>
  <c r="N42" i="5"/>
  <c r="K45" i="5"/>
  <c r="P48" i="5"/>
  <c r="O49" i="5"/>
  <c r="N50" i="5"/>
  <c r="K53" i="5"/>
  <c r="P56" i="5"/>
  <c r="O57" i="5"/>
  <c r="N58" i="5"/>
  <c r="K61" i="5"/>
  <c r="P64" i="5"/>
  <c r="O65" i="5"/>
  <c r="F23" i="9"/>
  <c r="H25" i="9"/>
  <c r="G28" i="9"/>
  <c r="P25" i="5"/>
  <c r="O26" i="5"/>
  <c r="N27" i="5"/>
  <c r="K30" i="5"/>
  <c r="P33" i="5"/>
  <c r="O34" i="5"/>
  <c r="N35" i="5"/>
  <c r="K38" i="5"/>
  <c r="P41" i="5"/>
  <c r="O42" i="5"/>
  <c r="N43" i="5"/>
  <c r="K46" i="5"/>
  <c r="P49" i="5"/>
  <c r="O50" i="5"/>
  <c r="N51" i="5"/>
  <c r="K54" i="5"/>
  <c r="P57" i="5"/>
  <c r="O58" i="5"/>
  <c r="N59" i="5"/>
  <c r="K62" i="5"/>
  <c r="P65" i="5"/>
  <c r="G23" i="9"/>
  <c r="F26" i="9"/>
  <c r="H28" i="9"/>
  <c r="P26" i="5"/>
  <c r="O27" i="5"/>
  <c r="N28" i="5"/>
  <c r="P34" i="5"/>
  <c r="O35" i="5"/>
  <c r="N36" i="5"/>
  <c r="P42" i="5"/>
  <c r="O43" i="5"/>
  <c r="P50" i="5"/>
  <c r="O51" i="5"/>
  <c r="P58" i="5"/>
  <c r="O59" i="5"/>
  <c r="N60" i="5"/>
  <c r="H23" i="9"/>
  <c r="G26" i="9"/>
  <c r="F29" i="9"/>
  <c r="P27" i="5"/>
  <c r="O28" i="5"/>
  <c r="N29" i="5"/>
  <c r="O36" i="5"/>
  <c r="N37" i="5"/>
  <c r="N45" i="5"/>
  <c r="N53" i="5"/>
  <c r="O60" i="5"/>
  <c r="N61" i="5"/>
  <c r="F24" i="9"/>
  <c r="H26" i="9"/>
  <c r="G29" i="9"/>
  <c r="P36" i="5"/>
  <c r="G24" i="9"/>
  <c r="F27" i="9"/>
  <c r="B16" i="5" l="1"/>
  <c r="D7" i="6" s="1"/>
  <c r="M25" i="5"/>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B17" i="5" s="1"/>
  <c r="E7" i="6" s="1"/>
  <c r="B13" i="5"/>
  <c r="B14" i="5" s="1"/>
  <c r="B15" i="5" s="1"/>
  <c r="B7" i="6" s="1"/>
  <c r="A7" i="6"/>
  <c r="B70" i="5"/>
  <c r="C7" i="6"/>
  <c r="B78" i="5"/>
  <c r="B77" i="5"/>
  <c r="F11" i="6"/>
  <c r="B18" i="5" l="1"/>
  <c r="F7" i="6" s="1"/>
  <c r="B19" i="5"/>
</calcChain>
</file>

<file path=xl/sharedStrings.xml><?xml version="1.0" encoding="utf-8"?>
<sst xmlns="http://schemas.openxmlformats.org/spreadsheetml/2006/main" count="3204" uniqueCount="1135">
  <si>
    <t>EWS Functional Logic &amp; Scoring Workbook (v1.14)</t>
  </si>
  <si>
    <t>43 indicators (EWS-001…EWS-043). EWS-019 (Financial-year change) and EWS-028 (litigation cases) revised per the Indicator Master. Critical Combination rule retained.</t>
  </si>
  <si>
    <t>What changed in v1.14</t>
  </si>
  <si>
    <t>• Revised EWS-019 “Frequent change in Financial year/Accounting period” to a binary scale: No change = 0, Change in FY = 40 (and refreshed its Description, Category, What-to-Track and Calculation from the Master).</t>
  </si>
  <si>
    <t>• Revised EWS-028 “Increase in litigation cases”: No case = 0, ≥1 with no material case = 20, ≥1 with material case = 40 (count + materiality).</t>
  </si>
  <si>
    <t>• All 43 indicators retained (EWS-001…EWS-043); every downstream sheet rebuilt from the Indicator Master.</t>
  </si>
  <si>
    <t>• The Critical Combination rule is unchanged (pairs EWS-004/011, EWS-005/014, EWS-009/012).</t>
  </si>
  <si>
    <t>Scoring &amp; combination logic</t>
  </si>
  <si>
    <t>• Normalised = Raw ÷ Max Score × 100. Overall = average of normalised of applicable indicators with valid data (missing excluded, N/A excluded).</t>
  </si>
  <si>
    <t>• Critical Override fires on (a) any Critical indicator at its trigger, OR (b) any Critical Combination pair co-occurring (both members breached above Normal — trigger configurable on the Config sheet).</t>
  </si>
  <si>
    <t>• Pair 1 — EWS-004 (Payment Default Frequency) + EWS-011 (Creditor days).  Pair 2 — EWS-005 (Repayment source) + EWS-014 (Unsecured loans change %).  Pair 3 — EWS-009 (Debtor days) + EWS-012 (Provisions/write-offs).</t>
  </si>
  <si>
    <t>Sheets</t>
  </si>
  <si>
    <t>• Indicator Master · Functional Logic · Scoring Engine (Rules) · Overall Score Engine (with the Critical Combination block) · Borrower Example · Risk Bands (Config) · Alert Lifecycle · Recommendations.</t>
  </si>
  <si>
    <t>EWS Indicator Master</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</si>
  <si>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</si>
  <si>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</si>
  <si>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</si>
  <si>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</si>
  <si>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</si>
  <si>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</si>
  <si>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</si>
  <si>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</si>
  <si>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</si>
  <si>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</si>
  <si>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</si>
  <si>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</si>
  <si>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</si>
  <si>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</si>
  <si>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</si>
  <si>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</si>
  <si>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</si>
  <si>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</si>
  <si>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</si>
  <si>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</si>
  <si>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</si>
  <si>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</si>
  <si>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</si>
  <si>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</si>
  <si>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</si>
  <si>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</si>
  <si>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</si>
  <si>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</si>
  <si>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</si>
  <si>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</si>
  <si>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</si>
  <si>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</si>
  <si>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</si>
  <si>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</si>
  <si>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</si>
  <si>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</si>
  <si>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</si>
  <si>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</si>
  <si>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Yes</t>
  </si>
  <si>
    <t>Reduction in monthly credits in operating account</t>
  </si>
  <si>
    <t>Monthly</t>
  </si>
  <si>
    <t>CreditChange% = (CurrentMonthCredits - Baseline)/Baseline</t>
  </si>
  <si>
    <t>Stable/Variation upto 5% = 0  | 5-10% decline = 10  | 10-15% decline = 20  | &gt;15% = 35</t>
  </si>
  <si>
    <t>EWS-004</t>
  </si>
  <si>
    <t>Payment Default Frequency</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</si>
  <si>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</si>
  <si>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</si>
  <si>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</si>
  <si>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</si>
  <si>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</si>
  <si>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</si>
  <si>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</si>
  <si>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</si>
  <si>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</si>
  <si>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</si>
  <si>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</si>
  <si>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</si>
  <si>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</si>
  <si>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</si>
  <si>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</si>
  <si>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</si>
  <si>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</si>
  <si>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</si>
  <si>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</si>
  <si>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</si>
  <si>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</si>
  <si>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</si>
  <si>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</si>
  <si>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</si>
  <si>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</si>
  <si>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</si>
  <si>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</si>
  <si>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</si>
  <si>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</si>
  <si>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</si>
  <si>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</si>
  <si>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</si>
  <si>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EWS-009</t>
  </si>
  <si>
    <t xml:space="preserve">Debtor days vs normal </t>
  </si>
  <si>
    <t>Rising debtor days</t>
  </si>
  <si>
    <t>Receivable days increasing sharply</t>
  </si>
  <si>
    <t>DebtorDaysDelta = DebtorDays - Normal</t>
  </si>
  <si>
    <t xml:space="preserve">Within normal = 0  | upto 10 days = 10  | 10-20 days = 20  |  &gt;20 days = 30 </t>
  </si>
  <si>
    <t>EWS-010</t>
  </si>
  <si>
    <t xml:space="preserve">Inventory days vs normal </t>
  </si>
  <si>
    <t>Rising inventory days</t>
  </si>
  <si>
    <t>Inventory holding period increasing</t>
  </si>
  <si>
    <t>Compute Inventory days vs normal (delta days) then compare to threshold bands</t>
  </si>
  <si>
    <t>Within normal = 0  |  +15-30 days = 10  |  +30-60 days = 20  |  +60 days = 30</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</si>
  <si>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</si>
  <si>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</si>
  <si>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</si>
  <si>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</si>
  <si>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</si>
  <si>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</si>
  <si>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</si>
  <si>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</si>
  <si>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</si>
  <si>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</si>
  <si>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</si>
  <si>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</si>
  <si>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</si>
  <si>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</si>
  <si>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</si>
  <si>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</si>
  <si>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</si>
  <si>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</si>
  <si>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&lt;5% = 0  |  5-10% = 10  |  10-15% = 20  |  &gt;15% = 35</t>
  </si>
  <si>
    <t>EWS-014</t>
  </si>
  <si>
    <t>Unsecured loans change %</t>
  </si>
  <si>
    <t>Large unsecured loans taken</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</si>
  <si>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</si>
  <si>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</si>
  <si>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</si>
  <si>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</si>
  <si>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</si>
  <si>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</si>
  <si>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</si>
  <si>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</si>
  <si>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</si>
  <si>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</si>
  <si>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</si>
  <si>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</si>
  <si>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</si>
  <si>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</si>
  <si>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</si>
  <si>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</si>
  <si>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</si>
  <si>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No event = 0  |  one event = 15  |  &gt; 1 = 50</t>
  </si>
  <si>
    <t>EWS-017</t>
  </si>
  <si>
    <t>BG invocation events</t>
  </si>
  <si>
    <t>Bank guarantee invocation</t>
  </si>
  <si>
    <t>BG invoked by beneficiary</t>
  </si>
  <si>
    <t>Classify event severity for 'Bank guarantee invocation' (no numeric calc)</t>
  </si>
  <si>
    <t>No event = 0  |  one event = 15  |  repeated events = 50</t>
  </si>
  <si>
    <t>EWS-018</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</si>
  <si>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</si>
  <si>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</si>
  <si>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</si>
  <si>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</si>
  <si>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</si>
  <si>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</si>
  <si>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</si>
  <si>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</si>
  <si>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EWS-019</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</si>
  <si>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</si>
  <si>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</si>
  <si>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</si>
  <si>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</si>
  <si>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</si>
  <si>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</si>
  <si>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</si>
  <si>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No change = 0 | Change in FY = 40</t>
  </si>
  <si>
    <t>EWS-020</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</si>
  <si>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</si>
  <si>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</si>
  <si>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</si>
  <si>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</si>
  <si>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</si>
  <si>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EWS-021</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</si>
  <si>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</si>
  <si>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</si>
  <si>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</si>
  <si>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</si>
  <si>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</si>
  <si>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</si>
  <si>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EWS-022</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</si>
  <si>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</si>
  <si>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</si>
  <si>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</si>
  <si>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</si>
  <si>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</si>
  <si>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</si>
  <si>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</si>
  <si>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EWS-023</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</si>
  <si>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</si>
  <si>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</si>
  <si>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</si>
  <si>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</si>
  <si>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</si>
  <si>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EWS-024</t>
  </si>
  <si>
    <t>RPT value/share change %</t>
  </si>
  <si>
    <t>Related party transactions increase</t>
  </si>
  <si>
    <t>Large group-company transactions</t>
  </si>
  <si>
    <t>Compute RPT value/share change % then compare to threshold bands</t>
  </si>
  <si>
    <t>≤0% = 0 | &gt;0% to ≤10% = 10 | &gt;10% to ≤25% = 25 | &gt;25% = 40</t>
  </si>
  <si>
    <t>EWS-025</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</si>
  <si>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</si>
  <si>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</si>
  <si>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</si>
  <si>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</si>
  <si>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</si>
  <si>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</si>
  <si>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EWS-026</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</si>
  <si>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</si>
  <si>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</si>
  <si>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</si>
  <si>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</si>
  <si>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</si>
  <si>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</si>
  <si>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EWS-027</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</si>
  <si>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</si>
  <si>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</si>
  <si>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</si>
  <si>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</si>
  <si>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</si>
  <si>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</si>
  <si>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</si>
  <si>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EWS-028</t>
  </si>
  <si>
    <t>Increase in litigation cases</t>
  </si>
  <si>
    <t>Trend in legal cases against the company</t>
  </si>
  <si>
    <t>Legal</t>
  </si>
  <si>
    <t>New cases, pending cases, case closures and materiality of cases</t>
  </si>
  <si>
    <t>Court/NCLT DB or paid aggregator</t>
  </si>
  <si>
    <t>Assess change in number and materiality of cases over time</t>
  </si>
  <si>
    <t xml:space="preserve">No case = 0 | ≥1 with no material case = 20 | ≥1 with material case = 40 </t>
  </si>
  <si>
    <t>EWS-029</t>
  </si>
  <si>
    <t>Business-model change classification</t>
  </si>
  <si>
    <t>Frequent change in business model</t>
  </si>
  <si>
    <t>Business Risk</t>
  </si>
  <si>
    <t>Sudden shift in product/customer/market</t>
  </si>
  <si>
    <t>Classify event severity for 'Frequent change in business model' (no numeric calc)</t>
  </si>
  <si>
    <t>No trigger = 0  |  mild deterioration = 10  |  material deterioration = 25  |  severe/confirmed red flag = 40</t>
  </si>
  <si>
    <t>EWS-030</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</si>
  <si>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</si>
  <si>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</si>
  <si>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</si>
  <si>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</si>
  <si>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</si>
  <si>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</si>
  <si>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</si>
  <si>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</si>
  <si>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EWS-031</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</si>
  <si>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</si>
  <si>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</si>
  <si>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</si>
  <si>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</si>
  <si>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</si>
  <si>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</si>
  <si>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</si>
  <si>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</si>
  <si>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EWS-032</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</si>
  <si>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</si>
  <si>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</si>
  <si>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</si>
  <si>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</si>
  <si>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</si>
  <si>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EWS-033</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</si>
  <si>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</si>
  <si>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</si>
  <si>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</si>
  <si>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</si>
  <si>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</si>
  <si>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</si>
  <si>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</si>
  <si>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</si>
  <si>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EWS-034</t>
  </si>
  <si>
    <t xml:space="preserve">Capacity utilization % </t>
  </si>
  <si>
    <t>Low capacity utilization</t>
  </si>
  <si>
    <t>Utilization below normal level</t>
  </si>
  <si>
    <t>Compute Capacity utilization % then compare to Capacity utilization as per Projection</t>
  </si>
  <si>
    <t>Utilization as per Projection = 0  | 0-5% less = 10  |  5-10% less = 20  |  &gt;10% less = 30</t>
  </si>
  <si>
    <t>EWS-035</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</si>
  <si>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</si>
  <si>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</si>
  <si>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</si>
  <si>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</si>
  <si>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No adverse observation = 0 | Adverse observation = 50</t>
  </si>
  <si>
    <t>EWS-036</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</si>
  <si>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</si>
  <si>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</si>
  <si>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</si>
  <si>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</si>
  <si>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</si>
  <si>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</si>
  <si>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EWS-037</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</si>
  <si>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</si>
  <si>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</si>
  <si>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</si>
  <si>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</si>
  <si>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</si>
  <si>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</si>
  <si>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EWS-038</t>
  </si>
  <si>
    <t>Carbon Emission</t>
  </si>
  <si>
    <t>Carbon / emission transition and compliance risk</t>
  </si>
  <si>
    <t>Emission intensity vs norms; breaches; carbon-tax / penalty exposure</t>
  </si>
  <si>
    <t>External (Regulatory / ESG)</t>
  </si>
  <si>
    <t>ESG disclosures &amp; regulator filings</t>
  </si>
  <si>
    <t>Annual / Event</t>
  </si>
  <si>
    <t>Classify carbon-emission / transition risk level</t>
  </si>
  <si>
    <t>Within norms/targets = 0 | Breach of emission norms = 15 | Penalty / carbon-tax / regulatory action = 40</t>
  </si>
  <si>
    <t>EWS-039</t>
  </si>
  <si>
    <t>Change in Depreciation method</t>
  </si>
  <si>
    <t>Change in depreciation method</t>
  </si>
  <si>
    <t>Any change in depreciation method/rates that alters reported profit</t>
  </si>
  <si>
    <t>Audited financials / notes to accounts</t>
  </si>
  <si>
    <t>Financial-statement notes review</t>
  </si>
  <si>
    <t>Detect change in depreciation method vs prior year</t>
  </si>
  <si>
    <t>No Change = 0 | Change Observed = 50</t>
  </si>
  <si>
    <t>EWS-040</t>
  </si>
  <si>
    <t>Change in Inventory valuation method</t>
  </si>
  <si>
    <t>Change in inventory-valuation method</t>
  </si>
  <si>
    <t>Any change in inventory-valuation method that alters assets/margins</t>
  </si>
  <si>
    <t>Detect change in inventory-valuation method vs prior year</t>
  </si>
  <si>
    <t>EWS-041</t>
  </si>
  <si>
    <t>DSCR</t>
  </si>
  <si>
    <t>Debt Service Coverage Ratio</t>
  </si>
  <si>
    <t>Credit Risk</t>
  </si>
  <si>
    <t>DSCR = cash accruals / debt service</t>
  </si>
  <si>
    <t>Audited financials / spreading</t>
  </si>
  <si>
    <t>Financial spreading</t>
  </si>
  <si>
    <t>Quarterly / Annual</t>
  </si>
  <si>
    <t>DSCR = (PAT + Depreciation + Interest) / (Interest + Principal repayments)</t>
  </si>
  <si>
    <t xml:space="preserve"> 1.25–1.50 = 0 | &lt;1.25 = 40</t>
  </si>
  <si>
    <t>EWS-042</t>
  </si>
  <si>
    <t>Leverage Ratio</t>
  </si>
  <si>
    <t>Leverage (Total Outside Liabilities / Tangible Net Worth)</t>
  </si>
  <si>
    <t>TOL/TNW leverage</t>
  </si>
  <si>
    <t>TOL / TNW</t>
  </si>
  <si>
    <t>≤2.0 = 0 | 2.0–3.0 = 10 | &gt;3.0 = 40</t>
  </si>
  <si>
    <t>EWS-043</t>
  </si>
  <si>
    <t>Current Ratio</t>
  </si>
  <si>
    <t>Current Ratio (Current Assets / Current Liabilities)</t>
  </si>
  <si>
    <t>Current ratio</t>
  </si>
  <si>
    <t>Current Assets / Current Liabilities</t>
  </si>
  <si>
    <t>≥1.33 = 0 | 1–1.33 = 10 | &lt;1.00 = 40</t>
  </si>
  <si>
    <t>Functional Logic (per indicator)</t>
  </si>
  <si>
    <t>Input → Calculation/Classification → Threshold Evaluation → Raw Score → Normalised Score. Max Score links to the Master.</t>
  </si>
  <si>
    <t>Step 1 — Input (What to Track)</t>
  </si>
  <si>
    <t>Step 2 — Calculation / Classification</t>
  </si>
  <si>
    <t>Step 3 — Threshold Evaluation (bands)</t>
  </si>
  <si>
    <t>Step 4 — Raw Score rule</t>
  </si>
  <si>
    <t>Step 5 — Normalised Score</t>
  </si>
  <si>
    <t>Raw Score = score of the single band whose condition the borrower value satisfies; 0 if none is breached.</t>
  </si>
  <si>
    <t>Normalised = Raw ÷ Max Score × 100 (0–100). Fed into the Overall Score Engine.</t>
  </si>
  <si>
    <t>Threshold &amp; Scoring Engine — Machine-Readable Rules + Remedial Playbook</t>
  </si>
  <si>
    <t>One row per band. Rule Type/Lower/Upper/Operator are data-type driven; Normalised@Band &amp; Is-Max are live; key = UID|Raw.</t>
  </si>
  <si>
    <t>Metric / Input</t>
  </si>
  <si>
    <t>Band Order</t>
  </si>
  <si>
    <t>Condition (verbatim)</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</si>
  <si>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</si>
  <si>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</si>
  <si>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</si>
  <si>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</si>
  <si>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</si>
  <si>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</si>
  <si>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</si>
  <si>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</si>
  <si>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</si>
  <si>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</si>
  <si>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</si>
  <si>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</si>
  <si>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</si>
  <si>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</si>
  <si>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</si>
  <si>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</si>
  <si>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</si>
  <si>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</si>
  <si>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</si>
  <si>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</si>
  <si>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</si>
  <si>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</si>
  <si>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</si>
  <si>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</si>
  <si>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</si>
  <si>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</si>
  <si>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</si>
  <si>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</si>
  <si>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</si>
  <si>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</si>
  <si>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</si>
  <si>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</si>
  <si>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</si>
  <si>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</si>
  <si>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</si>
  <si>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</si>
  <si>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</si>
  <si>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</si>
  <si>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</si>
  <si>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</si>
  <si>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</si>
  <si>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</si>
  <si>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</si>
  <si>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</si>
  <si>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</si>
  <si>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</si>
  <si>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</si>
  <si>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</si>
  <si>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</si>
  <si>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category</t>
  </si>
  <si>
    <t>Severe / critical — an emergency / out-of-cycle request; acute liquidity stress.</t>
  </si>
  <si>
    <t>1) Treat as a stress trigger; obtain an immediate cash-flow statement. 2) Do not fund without security/comfort. 3) Escalate to Credit.</t>
  </si>
  <si>
    <t>Stable/Variation upto 5%</t>
  </si>
  <si>
    <t>Normal — operating-account credits stable or rising; sales routing intact.</t>
  </si>
  <si>
    <t>5-10% decline</t>
  </si>
  <si>
    <t>Early warning — credits down 10–20% vs baseline; early softening or partial routing to another bank.</t>
  </si>
  <si>
    <t>1) Reconcile account credits to GST/sales. 2) Ask the RM whether routing has shifted. 3) Note the trend for next review.</t>
  </si>
  <si>
    <t>Relationship Manager (Branch)</t>
  </si>
  <si>
    <t>10-15% decline</t>
  </si>
  <si>
    <t>Elevated concern — credits down 20–40%; material drop — genuine sales fall or turnover being diverted elsewhere.</t>
  </si>
  <si>
    <t>1) Stipulate proportionate turnover routing through the bank. 2) Verify sales via GST returns. 3) Monitor monthly credits vs sales.</t>
  </si>
  <si>
    <t>&gt;15% decline</t>
  </si>
  <si>
    <t>&gt; lower</t>
  </si>
  <si>
    <t>CRITICAL EVENT</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</si>
  <si>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</si>
  <si>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</si>
  <si>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</si>
  <si>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</si>
  <si>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</si>
  <si>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</si>
  <si>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</si>
  <si>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</si>
  <si>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</si>
  <si>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</si>
  <si>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</si>
  <si>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</si>
  <si>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</si>
  <si>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</si>
  <si>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</si>
  <si>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</si>
  <si>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</si>
  <si>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</si>
  <si>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</si>
  <si>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</si>
  <si>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</si>
  <si>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</si>
  <si>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</si>
  <si>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</si>
  <si>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</si>
  <si>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</si>
  <si>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</si>
  <si>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</si>
  <si>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</si>
  <si>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</si>
  <si>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</si>
  <si>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</si>
  <si>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</si>
  <si>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</si>
  <si>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</si>
  <si>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</si>
  <si>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</si>
  <si>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</si>
  <si>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</si>
  <si>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</si>
  <si>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</si>
  <si>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</si>
  <si>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</si>
  <si>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</si>
  <si>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</si>
  <si>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</si>
  <si>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Normal — EBITDA margin stable; profitability intact.</t>
  </si>
  <si>
    <t>Early warning — margin fell 10–20%; cost inflation or pricing pressure beginning.</t>
  </si>
  <si>
    <t>1) Analyse cost vs price drivers. 2) Reassess DSCR on updated numbers. 3) Monitor.</t>
  </si>
  <si>
    <t>Elevated concern — margin fell 20–40%; material erosion of debt-servicing ability.</t>
  </si>
  <si>
    <t>1) Reassess repayment capacity and viability. 2) Enhanced monitoring. 3) Escalate to Credit.</t>
  </si>
  <si>
    <t>≥ lower (or loss)</t>
  </si>
  <si>
    <t>Severe / critical — margin fell &gt;40% or turned to a loss; severe profitability collapse.</t>
  </si>
  <si>
    <t>1) Full viability review; assess restructuring. 2) Provisioning review. 3) Escalate to Credit Committee.</t>
  </si>
  <si>
    <t>Within normal</t>
  </si>
  <si>
    <t>Delta Days Threshold</t>
  </si>
  <si>
    <t>Normal — debtor days within norm; receivables turning normally.</t>
  </si>
  <si>
    <t>upto 10 days</t>
  </si>
  <si>
    <t>Early warning — debtor days +15–30; early slowdown — collection lag or slow-moving receivables.</t>
  </si>
  <si>
    <t>1) Review the debtor ageing. 2) Identify overdue/slow items. 3) Monitor.</t>
  </si>
  <si>
    <t>10-20 days</t>
  </si>
  <si>
    <t>Delta Days Range</t>
  </si>
  <si>
    <t>Elevated concern — debtor days +30–60; material tie-up of working capital in receivables.</t>
  </si>
  <si>
    <t>1) Order a receivables audit. 2) Exclude &gt;90-day receivables from DP. 3) Monitor monthly.</t>
  </si>
  <si>
    <t xml:space="preserve">&gt;20 days </t>
  </si>
  <si>
    <t>Severe / critical — debtor days +60; severe — aged/blocked receivables, possible overstatement or non-moving stock.</t>
  </si>
  <si>
    <t>1) Independent receivables audit; recompute DP. 2) Assess related-party / fictitious build-up. 3) Escalate to Credit; forensic if diversion suspected.</t>
  </si>
  <si>
    <t>Within norm</t>
  </si>
  <si>
    <t>Normal — inventory days within norm; stock turning normally.</t>
  </si>
  <si>
    <t>+15-30 days</t>
  </si>
  <si>
    <t>Early warning — inventory days +15–30; early slowdown — collection lag or slow-moving stock.</t>
  </si>
  <si>
    <t>1) Review the inventory ageing. 2) Identify overdue/slow items. 3) Monitor.</t>
  </si>
  <si>
    <t>+30-60 days</t>
  </si>
  <si>
    <t>Elevated concern — inventory days +30–60; material tie-up of working capital in stock.</t>
  </si>
  <si>
    <t>1) Order a stock audit. 2) Exclude &gt;90-day stock from DP. 3) Monitor monthly.</t>
  </si>
  <si>
    <t>+60 days</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</si>
  <si>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</si>
  <si>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</si>
  <si>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</si>
  <si>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</si>
  <si>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</si>
  <si>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</si>
  <si>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</si>
  <si>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</si>
  <si>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</si>
  <si>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</si>
  <si>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</si>
  <si>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</si>
  <si>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</si>
  <si>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</si>
  <si>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</si>
  <si>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</si>
  <si>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</si>
  <si>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</si>
  <si>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</si>
  <si>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</si>
  <si>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</si>
  <si>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</si>
  <si>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5-10%</t>
  </si>
  <si>
    <t>Early warning — 5–15% variance; mild under-performance vs projections.</t>
  </si>
  <si>
    <t>1) Analyse the variance. 2) Revisit assumptions with the RM. 3) Monitor.</t>
  </si>
  <si>
    <t>10-15%</t>
  </si>
  <si>
    <t>Elevated concern — 15–30% variance; material deviation — projections likely optimistic or performance slipping.</t>
  </si>
  <si>
    <t>1) Reassess limits/viability on realistic numbers. 2) Enhanced monitoring. 3) Escalate to Credit.</t>
  </si>
  <si>
    <t>&gt;15%</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</si>
  <si>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</si>
  <si>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</si>
  <si>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</si>
  <si>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</si>
  <si>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</si>
  <si>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</si>
  <si>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</si>
  <si>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</si>
  <si>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</si>
  <si>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</si>
  <si>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</si>
  <si>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</si>
  <si>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Stable</t>
  </si>
  <si>
    <t>Normal — finance cost growing in line with sales; leverage stable.</t>
  </si>
  <si>
    <t>deterioration 10-20%</t>
  </si>
  <si>
    <t>Early warning — finance cost outpacing sales by 10–20%; early over-leverage.</t>
  </si>
  <si>
    <t>1) Analyse debt build-up vs sales. 2) Reassess DSCR. 3) Monitor.</t>
  </si>
  <si>
    <t>20-40%</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</si>
  <si>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</si>
  <si>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</si>
  <si>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</si>
  <si>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</si>
  <si>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</si>
  <si>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</si>
  <si>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No event</t>
  </si>
  <si>
    <t>Normal — no LC devolvement; trade obligations honoured.</t>
  </si>
  <si>
    <t>one event</t>
  </si>
  <si>
    <t>Early warning — one minor devolvement; isolated timing issue.</t>
  </si>
  <si>
    <t>1) Ascertain the reason; regularise promptly. 2) Review LC limits and margin. 3) Monitor.</t>
  </si>
  <si>
    <t>repeated events</t>
  </si>
  <si>
    <t>Severe / critical — repeated devolvement/invocation; the borrower cannot honour trade commitments — clear liquidity distress.</t>
  </si>
  <si>
    <t>1) Treat as stress; reduce non-fund exposure, seek cash margin. 2) Reassess WC. 3) Escalate to Credit; provisioning review.</t>
  </si>
  <si>
    <t>Normal — no BG invocation; guarantees performing.</t>
  </si>
  <si>
    <t>Early warning — a single BG invocation; the borrower failed to honour one guarantee obligation.</t>
  </si>
  <si>
    <t>1) Ascertain the reason and regularise; assess the underlying contract risk. 2) Tighten margin/monitoring. 3) Monitor.</t>
  </si>
  <si>
    <t>Severe / critical — repeated BG invocations; recurring failure to honour guarantees, a serious performance/financial default.</t>
  </si>
  <si>
    <t>1) Treat crystallised liabilities as stress; reduce non-fund exposure and seek cash margin. 2) Reassess WC and viability. 3) Escalate to Credit; provisioning review.</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</si>
  <si>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</si>
  <si>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</si>
  <si>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</si>
  <si>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</si>
  <si>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</si>
  <si>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</si>
  <si>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</si>
  <si>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</si>
  <si>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</si>
  <si>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</si>
  <si>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</si>
  <si>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Normal — no change in the financial year / accounting period; reporting periods stable and comparable.</t>
  </si>
  <si>
    <t>Change in FY</t>
  </si>
  <si>
    <t>Severe / critical — a change in the financial year / accounting period; breaks comparability and can be used to obscure deterioration or window-dress results, a reporting-quality red flag.</t>
  </si>
  <si>
    <t>1) Obtain the reason and the MCA filing; assess whether it affects comparability or masks deterioration. 2) Restate/adjust the analysis to a like-for-like basis. 3) Flag to Credit / Audit review.</t>
  </si>
  <si>
    <t>Credit + Audit review</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</si>
  <si>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</si>
  <si>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</si>
  <si>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</si>
  <si>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</si>
  <si>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</si>
  <si>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</si>
  <si>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</si>
  <si>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</si>
  <si>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</si>
  <si>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</si>
  <si>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</si>
  <si>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</si>
  <si>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</si>
  <si>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</si>
  <si>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</si>
  <si>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</si>
  <si>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</si>
  <si>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</si>
  <si>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</si>
  <si>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</si>
  <si>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</si>
  <si>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</si>
  <si>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</si>
  <si>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</si>
  <si>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</si>
  <si>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</si>
  <si>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</si>
  <si>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</si>
  <si>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</si>
  <si>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</si>
  <si>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</si>
  <si>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</si>
  <si>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</si>
  <si>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</si>
  <si>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</si>
  <si>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</si>
  <si>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</si>
  <si>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</si>
  <si>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</si>
  <si>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</si>
  <si>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</si>
  <si>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</si>
  <si>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</si>
  <si>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</si>
  <si>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</si>
  <si>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</si>
  <si>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</si>
  <si>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</si>
  <si>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</si>
  <si>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</si>
  <si>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</si>
  <si>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</si>
  <si>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</si>
  <si>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</si>
  <si>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</si>
  <si>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</si>
  <si>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</si>
  <si>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</si>
  <si>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</si>
  <si>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</si>
  <si>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</si>
  <si>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</si>
  <si>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</si>
  <si>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</si>
  <si>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</si>
  <si>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</si>
  <si>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</si>
  <si>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</si>
  <si>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</si>
  <si>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</si>
  <si>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</si>
  <si>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</si>
  <si>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</si>
  <si>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</si>
  <si>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</si>
  <si>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</si>
  <si>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</si>
  <si>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</si>
  <si>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</si>
  <si>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</si>
  <si>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</si>
  <si>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</si>
  <si>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</si>
  <si>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</si>
  <si>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</si>
  <si>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No case</t>
  </si>
  <si>
    <t>exactly = value (no case)</t>
  </si>
  <si>
    <t>Normal — no litigation cases; low legal risk.</t>
  </si>
  <si>
    <t>≥1 with no material case</t>
  </si>
  <si>
    <t>Count + Materiality</t>
  </si>
  <si>
    <t>≥ lower, no material case</t>
  </si>
  <si>
    <t>Elevated concern — one or more litigation cases but none material; rising but immaterial legal exposure.</t>
  </si>
  <si>
    <t>1) Review the nature of the cases. 2) Obtain a legal opinion on the aggregate exposure. 3) Monitor.</t>
  </si>
  <si>
    <t>≥1 with material case</t>
  </si>
  <si>
    <t>≥ lower, with a material case</t>
  </si>
  <si>
    <t>Severe / critical — one or more cases including a material case; significant contingent liability / recovery-drag risk.</t>
  </si>
  <si>
    <t>1) Quantify the material case's exposure; provision if needed. 2) Protect the bank's position. 3) Escalate to Credit / Legal.</t>
  </si>
  <si>
    <t>Credit Committee / Legal</t>
  </si>
  <si>
    <t>No trigger</t>
  </si>
  <si>
    <t>Normal — no change in business model; risk profile stable.</t>
  </si>
  <si>
    <t>mild deterioration</t>
  </si>
  <si>
    <t>Early warning — mild changes; monitor for drift in the risk profile.</t>
  </si>
  <si>
    <t>1) Understand the change and rationale. 2) Assess risk-profile impact. 3) Monitor.</t>
  </si>
  <si>
    <t>material deterioration</t>
  </si>
  <si>
    <t>Elevated concern — material change in the business/activity; altered risk profile.</t>
  </si>
  <si>
    <t>1) Reassess viability/limits against the new model. 2) Revisit sanction terms/security. 3) Escalate to Credit.</t>
  </si>
  <si>
    <t>severe/confirmed red flag</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</si>
  <si>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</si>
  <si>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</si>
  <si>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</si>
  <si>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</si>
  <si>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</si>
  <si>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</si>
  <si>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</si>
  <si>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</si>
  <si>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</si>
  <si>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</si>
  <si>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</si>
  <si>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</si>
  <si>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</si>
  <si>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</si>
  <si>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</si>
  <si>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</si>
  <si>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</si>
  <si>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</si>
  <si>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</si>
  <si>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</si>
  <si>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</si>
  <si>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</si>
  <si>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</si>
  <si>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</si>
  <si>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</si>
  <si>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</si>
  <si>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</si>
  <si>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</si>
  <si>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</si>
  <si>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</si>
  <si>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</si>
  <si>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Credit + Legal</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</si>
  <si>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</si>
  <si>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</si>
  <si>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</si>
  <si>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</si>
  <si>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</si>
  <si>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</si>
  <si>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</si>
  <si>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</si>
  <si>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</si>
  <si>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</si>
  <si>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</si>
  <si>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</si>
  <si>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</si>
  <si>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</si>
  <si>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Utilization as per Projection</t>
  </si>
  <si>
    <t>Normal — capacity utilisation above 90%; strong operating throughput.</t>
  </si>
  <si>
    <t>0-5%</t>
  </si>
  <si>
    <t>Early warning — utilisation 85–90%; slight easing of throughput.</t>
  </si>
  <si>
    <t>1) Note the dip; confirm the cause. 2) Watch next cycle.</t>
  </si>
  <si>
    <t>Elevated concern — utilisation 75–85%; material under-utilisation — weak demand or operational issues.</t>
  </si>
  <si>
    <t>1) Reassess demand and projections. 2) Enhanced monitoring. 3) Escalate to Credit.</t>
  </si>
  <si>
    <t>&gt;10%</t>
  </si>
  <si>
    <t>Severe / critical — utilisation below 75%; severe — significant idle capacity, revenue/viability risk.</t>
  </si>
  <si>
    <t>1) Viability review given idle capacity. 2) Corrective/restructuring assessment. 3) Escalate to Credit Committee.</t>
  </si>
  <si>
    <t>No adverse observation</t>
  </si>
  <si>
    <t>Normal — site visit satisfactory; unit operating normally.</t>
  </si>
  <si>
    <t>Adverse observation</t>
  </si>
  <si>
    <t>Severe / critical — an adverse site-visit observation (e.g. idle/closed unit, stock discrepancy or asset issue); potential stress or misrepresentation.</t>
  </si>
  <si>
    <t>1) Order a stock/unit audit on the observation; verify security. 2) Tighten drawals; corrective plan. 3) Escalate to Credit; forensic review if the discrepancy is material.</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</si>
  <si>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</si>
  <si>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</si>
  <si>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</si>
  <si>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</si>
  <si>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</si>
  <si>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</si>
  <si>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</si>
  <si>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</si>
  <si>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</si>
  <si>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</si>
  <si>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</si>
  <si>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</si>
  <si>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</si>
  <si>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</si>
  <si>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</si>
  <si>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</si>
  <si>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</si>
  <si>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</si>
  <si>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Within norms/targets</t>
  </si>
  <si>
    <t>Normal — carbon/emission within norms; no transition-risk concern.</t>
  </si>
  <si>
    <t>Breach of emission norms</t>
  </si>
  <si>
    <t>Elevated concern — breach of emission norms; material regulatory and cost exposure.</t>
  </si>
  <si>
    <t>1) Assess the compliance gap and remediation cost. 2) Reassess viability under carbon cost. 3) Flag to Credit.</t>
  </si>
  <si>
    <t>Penalty / carbon-tax / regulatory action</t>
  </si>
  <si>
    <t>Severe / critical — penalty / carbon-tax / regulatory action; severe ESG and cash-flow impact.</t>
  </si>
  <si>
    <t>1) Quantify penalty/carbon-tax and continuity impact. 2) Protect the bank's position; reassess exposure. 3) Escalate to Credit / Legal.</t>
  </si>
  <si>
    <t>Credit / Legal</t>
  </si>
  <si>
    <t>No Change</t>
  </si>
  <si>
    <t>Normal — no change in depreciation method; reporting consistent.</t>
  </si>
  <si>
    <t>Change Observed</t>
  </si>
  <si>
    <t>Severe / critical — can flatter reported profit or mask deterioration; a reporting-quality red flag.</t>
  </si>
  <si>
    <t>1) Read the notes to accounts; quantify the P&amp;L impact of the change. 2) Restate the analysis to a like-for-like basis. 3) Assess intent (genuine vs profit-smoothing); flag to Credit / Audit review.</t>
  </si>
  <si>
    <t>Normal — no change in inventory-valuation method; reporting consistent.</t>
  </si>
  <si>
    <t>Severe / critical — can inflate assets/margins or conceal slow-moving stock; a reporting-quality red flag.</t>
  </si>
  <si>
    <t>1) Read the notes; quantify the impact on inventory value and margins. 2) Restate to a like-for-like basis. 3) Assess intent; order a stock/valuation review; flag to Credit / Audit.</t>
  </si>
  <si>
    <t>1.25–1.50</t>
  </si>
  <si>
    <t>Ratio Range</t>
  </si>
  <si>
    <t>Normal — DSCR in the acceptable range (≥1.25); debt-service coverage adequate.</t>
  </si>
  <si>
    <t>&lt;1.25</t>
  </si>
  <si>
    <t>Ratio Threshold</t>
  </si>
  <si>
    <t>Severe / critical — DSCR below 1.25; thin-to-inadequate coverage, cash accruals may not comfortably cover debt service.</t>
  </si>
  <si>
    <t>1) Reassess repayment capacity, refinancing risk and viability. 2) Corrective / restructuring assessment. 3) Escalate to Credit.</t>
  </si>
  <si>
    <t>≤2.0</t>
  </si>
  <si>
    <t>Normal — leverage (TOL/TNW) ≤2.0; conservative capital structure.</t>
  </si>
  <si>
    <t>2.0–3.0</t>
  </si>
  <si>
    <t>Early warning — leverage 2.0–3.0; moderate, rising reliance on outside liabilities.</t>
  </si>
  <si>
    <t>1) Note the leverage trend vs sanction assumptions. 2) Review debt build-up. 3) Monitor.</t>
  </si>
  <si>
    <t>&gt;3.0</t>
  </si>
  <si>
    <t>Severe / critical — leverage above 3.0; high/severe, thin net worth relative to debt and over-leverage risk.</t>
  </si>
  <si>
    <t>1) Reassess leverage and net-worth adequacy; seek promoter infusion. 2) Corrective / viability review. 3) Escalate to Credit.</t>
  </si>
  <si>
    <t>≥1.33</t>
  </si>
  <si>
    <t>Normal — current ratio ≥1.33; comfortable liquidity.</t>
  </si>
  <si>
    <t>1–1.33</t>
  </si>
  <si>
    <t>Early warning — current ratio 1.00–1.33; adequate but easing liquidity buffer.</t>
  </si>
  <si>
    <t>1) Review the working-capital position and NWC adequacy. 2) Watch next statement.</t>
  </si>
  <si>
    <t>&lt;1.00</t>
  </si>
  <si>
    <t>Severe / critical — current ratio below 1.00; current liabilities exceed current assets, liquidity stress.</t>
  </si>
  <si>
    <t>1) Reassess limits and liquidity; corrective plan. 2) Monitor closely. 3) Escalate to Credit.</t>
  </si>
  <si>
    <t>Overall Score Engine (Live Calculator)</t>
  </si>
  <si>
    <t>Yellow cells are inputs. Overall = average of normalised scores of applicable indicators with valid data. Critical Override fires on (a) any Critical indicator at its trigger OR (b) any Critical Combination pair co-occurring (block below).</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</si>
  <si>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</si>
  <si>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</si>
  <si>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</si>
  <si>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</si>
  <si>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</si>
  <si>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</si>
  <si>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</si>
  <si>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</si>
  <si>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</si>
  <si>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</si>
  <si>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</si>
  <si>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</si>
  <si>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</si>
  <si>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</si>
  <si>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</si>
  <si>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</si>
  <si>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</si>
  <si>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</si>
  <si>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</si>
  <si>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</si>
  <si>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</si>
  <si>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</si>
  <si>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</si>
  <si>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</si>
  <si>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</si>
  <si>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Critical</t>
  </si>
  <si>
    <t>Applicable (Y/N)</t>
  </si>
  <si>
    <t>Data Available (Y/N)</t>
  </si>
  <si>
    <t>Observed Value / Note</t>
  </si>
  <si>
    <t>Scored Flag</t>
  </si>
  <si>
    <t>Normalised Score</t>
  </si>
  <si>
    <t>Critical Fire</t>
  </si>
  <si>
    <t>Crit Fire UID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</si>
  <si>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</si>
  <si>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</si>
  <si>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</si>
  <si>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</si>
  <si>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</si>
  <si>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</si>
  <si>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</si>
  <si>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</si>
  <si>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</si>
  <si>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Observed breach (combination demo)</t>
  </si>
  <si>
    <t>Matches band: +15-30 days  →  band '+15-30 days'</t>
  </si>
  <si>
    <t>Matches band: 5-15%  →  band '5-15%'</t>
  </si>
  <si>
    <t>Moderate rise in unsecured/promoter loans  →  band 'moderate increase'</t>
  </si>
  <si>
    <t>Matches band: Stable  →  band 'Stable'</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</si>
  <si>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</si>
  <si>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</si>
  <si>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</si>
  <si>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</si>
  <si>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</si>
  <si>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</si>
  <si>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</si>
  <si>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</si>
  <si>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</si>
  <si>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Observed reading (remapped to new bands)</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</si>
  <si>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</si>
  <si>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</si>
  <si>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</si>
  <si>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</si>
  <si>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</si>
  <si>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Site visit satisfactory; no adverse observation</t>
  </si>
  <si>
    <t>Matches band: None  →  band 'None'</t>
  </si>
  <si>
    <t>Observed reading</t>
  </si>
  <si>
    <t>Additional risk controls</t>
  </si>
  <si>
    <t>Previous Overall Score (last review)</t>
  </si>
  <si>
    <t>Optional input for band-transition alerts.</t>
  </si>
  <si>
    <t>Score movement vs last review</t>
  </si>
  <si>
    <t>Positive = deterioration.</t>
  </si>
  <si>
    <t>Data Sufficiency / Confidence</t>
  </si>
  <si>
    <t>Compares Data Coverage % to the floor.</t>
  </si>
  <si>
    <t>Critical Combination Rules (co-occurrence → immediate Critical)</t>
  </si>
  <si>
    <t>Rule</t>
  </si>
  <si>
    <t>Indicator A</t>
  </si>
  <si>
    <t>Indicator B</t>
  </si>
  <si>
    <t>A flagged?</t>
  </si>
  <si>
    <t>B flagged?</t>
  </si>
  <si>
    <t>Combination fires?</t>
  </si>
  <si>
    <t>Pair 1: Payment defaults + stretched creditors</t>
  </si>
  <si>
    <t>Pair 2: Non-core repayment source + rising unsecured loans</t>
  </si>
  <si>
    <t>Pair 3: Stretched debtors + rising provisions</t>
  </si>
  <si>
    <t>Combination Critical Triggered?</t>
  </si>
  <si>
    <t>If YES, the Critical Override fires and FINAL STATUS = Critical immediately, regardless of the average.</t>
  </si>
  <si>
    <t>Combination pairs fired</t>
  </si>
  <si>
    <t>Borrower Example — End-to-End Worked Trace</t>
  </si>
  <si>
    <t>Hypothetical borrower. Live links to the Overall Score Engine. Demonstrates the Critical Combination rule firing.</t>
  </si>
  <si>
    <t>Profile: Acme Textiles Pvt Ltd — unlisted MSME under stress. Co-occurring signals form Critical Combination pairs (payment defaults + stretched creditors; stretched debtors + rising provisions), and statutory dues are overdue. Numerically the average is only "Yellow", but the co-occurring pairs (and the statutory-overdue critical) escalate the borrower to CRITICAL.</t>
  </si>
  <si>
    <t>Overall Score</t>
  </si>
  <si>
    <t>Critical Override?</t>
  </si>
  <si>
    <t>Critical Fired</t>
  </si>
  <si>
    <t>Critical Combination trace — the co-occurring pairs (live from the engine):</t>
  </si>
  <si>
    <t>Pair</t>
  </si>
  <si>
    <t>Notes</t>
  </si>
  <si>
    <t>Both flagged → Critical Combination fires → override</t>
  </si>
  <si>
    <t>Result: the Overall Score is only ~Yellow, but Critical Combination pair(s) co-occur, so the Critical Override fires and FINAL STATUS = CRITICAL — a combination of individually-sub-critical signals is treated as critical. (This borrower also breaches an individual critical, Statutory overdues; either path alone forces CRITICAL.)</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</si>
  <si>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</si>
  <si>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</si>
  <si>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</si>
  <si>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</si>
  <si>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</si>
  <si>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</si>
  <si>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</si>
  <si>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</si>
  <si>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</si>
  <si>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</si>
  <si>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</si>
  <si>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</si>
  <si>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</si>
  <si>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</si>
  <si>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</si>
  <si>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</si>
  <si>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</si>
  <si>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</si>
  <si>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</si>
  <si>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</si>
  <si>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</si>
  <si>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</si>
  <si>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</si>
  <si>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</si>
  <si>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</si>
  <si>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</si>
  <si>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</si>
  <si>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</si>
  <si>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</si>
  <si>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</si>
  <si>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</si>
  <si>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</si>
  <si>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</si>
  <si>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</si>
  <si>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</si>
  <si>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Combination Trigger (both indicators Normalised score ≥ 20)</t>
  </si>
  <si>
    <t>A pair fires when BOTH indicators are scored and breached at or above this normalised level (default 1 = both above their Normal band). When any pair fires, the Critical Override triggers immediately.</t>
  </si>
  <si>
    <t>Meaning</t>
  </si>
  <si>
    <t>Pair 1</t>
  </si>
  <si>
    <t>Payment defaults + stretched creditors</t>
  </si>
  <si>
    <t>Pair 2</t>
  </si>
  <si>
    <t>Non-core repayment source + rising unsecured loans</t>
  </si>
  <si>
    <t>Pair 3</t>
  </si>
  <si>
    <t>Stretched debtors + rising provisions</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</si>
  <si>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</si>
  <si>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</si>
  <si>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</si>
  <si>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</si>
  <si>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</si>
  <si>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</si>
  <si>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</si>
  <si>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</si>
  <si>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</si>
  <si>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</si>
  <si>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</si>
  <si>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</si>
  <si>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</si>
  <si>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</si>
  <si>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</si>
  <si>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No breach</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</si>
  <si>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</si>
  <si>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</si>
  <si>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</si>
  <si>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</si>
  <si>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</si>
  <si>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</si>
  <si>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</si>
  <si>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</si>
  <si>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</si>
  <si>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</si>
  <si>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</si>
  <si>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</si>
  <si>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</si>
  <si>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</si>
  <si>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</si>
  <si>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</si>
  <si>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</si>
  <si>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</si>
  <si>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</si>
  <si>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</si>
  <si>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</si>
  <si>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</si>
  <si>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</si>
  <si>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</si>
  <si>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</si>
  <si>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</si>
  <si>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</si>
  <si>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</si>
  <si>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</si>
  <si>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</si>
  <si>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</si>
  <si>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</si>
  <si>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</si>
  <si>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</si>
  <si>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</si>
  <si>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</si>
  <si>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</si>
  <si>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</si>
  <si>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</si>
  <si>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</si>
  <si>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</si>
  <si>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</si>
  <si>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</si>
  <si>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</si>
  <si>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</si>
  <si>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</si>
  <si>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</si>
  <si>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</si>
  <si>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</si>
  <si>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</si>
  <si>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</si>
  <si>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</si>
  <si>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</si>
  <si>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</si>
  <si>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</si>
  <si>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</si>
  <si>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</si>
  <si>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</si>
  <si>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</si>
  <si>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</si>
  <si>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</si>
  <si>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</si>
  <si>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</si>
  <si>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</si>
  <si>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</si>
  <si>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</si>
  <si>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</si>
  <si>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</si>
  <si>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</si>
  <si>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</si>
  <si>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</si>
  <si>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</si>
  <si>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</si>
  <si>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</si>
  <si>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</si>
  <si>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</si>
  <si>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</si>
  <si>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</si>
  <si>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</si>
  <si>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</si>
  <si>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</si>
  <si>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</si>
  <si>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</si>
  <si>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</si>
  <si>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</si>
  <si>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</si>
  <si>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</si>
  <si>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</si>
  <si>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</si>
  <si>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</si>
  <si>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</si>
  <si>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</si>
  <si>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</si>
  <si>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</si>
  <si>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</si>
  <si>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</si>
  <si>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</si>
  <si>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</si>
  <si>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</si>
  <si>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</si>
  <si>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</si>
  <si>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</si>
  <si>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</si>
  <si>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</si>
  <si>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</si>
  <si>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</si>
  <si>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</si>
  <si>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</si>
  <si>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</si>
  <si>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</si>
  <si>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</si>
  <si>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</si>
  <si>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</si>
  <si>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</si>
  <si>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</si>
  <si>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</si>
  <si>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</si>
  <si>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</si>
  <si>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</si>
  <si>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</si>
  <si>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</si>
  <si>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</si>
  <si>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</si>
  <si>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</si>
  <si>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</si>
  <si>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</si>
  <si>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</si>
  <si>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</si>
  <si>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</si>
  <si>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</si>
  <si>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</si>
  <si>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</si>
  <si>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</si>
  <si>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</si>
  <si>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</si>
  <si>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</si>
  <si>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</si>
  <si>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</si>
  <si>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</si>
  <si>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</si>
  <si>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Critical Combination rule: certain indicator pairs escalate to CRITICAL when they co-occur, even if neither is individually critical — EWS-004+EWS-011 (payment defaults + stretched creditors), EWS-005+EWS-014 (non-core repayment + rising unsecured loans), EWS-009+EWS-012 (stretched debtors + rising provisions). A fired pair triggers the Critical Override immediately (see Overall Score Engine → Critical Combination Rules).</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</si>
  <si>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</si>
  <si>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</si>
  <si>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</si>
  <si>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</si>
  <si>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</si>
  <si>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</si>
  <si>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</si>
  <si>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</si>
  <si>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</si>
  <si>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</si>
  <si>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</si>
  <si>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</si>
  <si>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</si>
  <si>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</si>
  <si>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</si>
  <si>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</si>
  <si>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</si>
  <si>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</si>
  <si>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</si>
  <si>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</si>
  <si>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</si>
  <si>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</si>
  <si>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</si>
  <si>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</si>
  <si>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</si>
  <si>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</si>
  <si>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</si>
  <si>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</si>
  <si>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</si>
  <si>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</si>
  <si>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</si>
  <si>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</si>
  <si>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Normalised</t>
  </si>
  <si>
    <t>raw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</si>
</sst>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charset val="1"/>
    </font>
    <font>
      <b/>
      <sz val="15"/>
      <color rgb="FFFFFFFF"/>
      <name val="Calibri"/>
      <family val="2"/>
    </font>
    <font>
      <i/>
      <sz val="9"/>
      <color rgb="FFFFFFFF"/>
      <name val="Calibri"/>
      <family val="2"/>
    </font>
    <font>
      <b/>
      <sz val="12"/>
      <color rgb="FFC00000"/>
      <name val="Calibri"/>
      <family val="2"/>
    </font>
    <font>
      <sz val="10"/>
      <color rgb="FF000000"/>
      <name val="Calibri"/>
      <family val="2"/>
    </font>
    <font>
      <b/>
      <sz val="12"/>
      <color rgb="FF1F3864"/>
      <name val="Calibri"/>
      <family val="2"/>
    </font>
    <font>
      <b/>
      <sz val="9"/>
      <color rgb="FFFFFFFF"/>
      <name val="Calibri"/>
      <family val="2"/>
    </font>
    <font>
      <sz val="9"/>
      <color rgb="FF000000"/>
      <name val="Calibri"/>
      <family val="2"/>
    </font>
    <font>
      <b/>
      <sz val="9"/>
      <color rgb="FF000000"/>
      <name val="Calibri"/>
      <family val="2"/>
    </font>
    <font>
      <b/>
      <sz val="9"/>
      <color rgb="FFC00000"/>
      <name val="Calibri"/>
      <family val="2"/>
    </font>
    <font>
      <sz val="8"/>
      <color rgb="FF808080"/>
      <name val="Calibri"/>
      <family val="2"/>
    </font>
    <font>
      <b/>
      <sz val="10"/>
      <color rgb="FF000000"/>
      <name val="Calibri"/>
      <family val="2"/>
    </font>
    <font>
      <b/>
      <sz val="11"/>
      <color rgb="FF0000FF"/>
      <name val="Calibri"/>
      <family val="2"/>
    </font>
    <font>
      <b/>
      <sz val="11"/>
      <color rgb="FF000000"/>
      <name val="Calibri"/>
      <family val="2"/>
    </font>
    <font>
      <i/>
      <sz val="9"/>
      <color rgb="FF000000"/>
      <name val="Calibri"/>
      <family val="2"/>
    </font>
    <font>
      <b/>
      <sz val="11"/>
      <color rgb="FFC00000"/>
      <name val="Calibri"/>
      <family val="2"/>
    </font>
    <font>
      <b/>
      <sz val="12"/>
      <color rgb="FFFFFFFF"/>
      <name val="Calibri"/>
      <family val="2"/>
    </font>
    <font>
      <i/>
      <sz val="9"/>
      <color rgb="FF7F7F7F"/>
      <name val="Calibri"/>
      <family val="2"/>
    </font>
    <font>
      <sz val="9"/>
      <color rgb="FF0000FF"/>
      <name val="Calibri"/>
      <family val="2"/>
    </font>
    <font>
      <sz val="9"/>
      <color rgb="FFC00000"/>
      <name val="Calibri"/>
      <family val="2"/>
    </font>
    <font>
      <b/>
      <sz val="11"/>
      <color rgb="FF1F3864"/>
      <name val="Calibri"/>
      <family val="2"/>
    </font>
    <font>
      <b/>
      <sz val="11"/>
      <color rgb="FFFFFFFF"/>
      <name val="Calibri"/>
      <family val="2"/>
    </font>
    <font>
      <b/>
      <sz val="15"/>
      <color rgb="FFFFFFFF"/>
      <name val="Arial"/>
      <family val="2"/>
      <charset val="1"/>
    </font>
    <font>
      <i/>
      <sz val="9"/>
      <color rgb="FFFFFFFF"/>
      <name val="Arial"/>
      <family val="2"/>
      <charset val="1"/>
    </font>
    <font>
      <b/>
      <sz val="10"/>
      <color rgb="FFFFFFFF"/>
      <name val="Arial"/>
      <family val="2"/>
      <charset val="1"/>
    </font>
    <font>
      <b/>
      <sz val="9"/>
      <color rgb="FF000000"/>
      <name val="Arial"/>
      <family val="2"/>
      <charset val="1"/>
    </font>
    <font>
      <b/>
      <sz val="10"/>
      <color rgb="FF0000FF"/>
      <name val="Arial"/>
      <family val="2"/>
      <charset val="1"/>
    </font>
    <font>
      <sz val="9"/>
      <color rgb="FF000000"/>
      <name val="Arial"/>
      <family val="2"/>
      <charset val="1"/>
    </font>
    <font>
      <b/>
      <sz val="9"/>
      <color rgb="FFFFFFFF"/>
      <name val="Arial"/>
      <family val="2"/>
      <charset val="1"/>
    </font>
    <font>
      <b/>
      <sz val="10"/>
      <color rgb="FF000000"/>
      <name val="Arial"/>
      <family val="2"/>
      <charset val="1"/>
    </font>
    <font>
      <sz val="10"/>
      <color rgb="FF000000"/>
      <name val="Arial"/>
      <family val="2"/>
      <charset val="1"/>
    </font>
    <font>
      <b/>
      <sz val="11"/>
      <color rgb="FF1F3864"/>
      <name val="Calibri"/>
      <family val="2"/>
      <charset val="1"/>
    </font>
    <font>
      <b/>
      <sz val="10"/>
      <color rgb="FF000000"/>
      <name val="Calibri"/>
      <family val="2"/>
      <charset val="1"/>
    </font>
    <font>
      <b/>
      <sz val="10"/>
      <color rgb="FF0000FF"/>
      <name val="Calibri"/>
      <family val="2"/>
      <charset val="1"/>
    </font>
    <font>
      <sz val="9"/>
      <color rgb="FF000000"/>
      <name val="Calibri"/>
      <family val="2"/>
      <charset val="1"/>
    </font>
    <font>
      <sz val="9"/>
      <name val="Calibri"/>
      <family val="2"/>
      <charset val="1"/>
    </font>
    <font>
      <b/>
      <sz val="11"/>
      <color rgb="FFC00000"/>
      <name val="Calibri"/>
      <family val="2"/>
      <charset val="1"/>
    </font>
    <font>
      <b/>
      <sz val="9"/>
      <color rgb="FFFFFFFF"/>
      <name val="Calibri"/>
      <family val="2"/>
      <charset val="1"/>
    </font>
    <font>
      <b/>
      <sz val="9"/>
      <color rgb="FF000000"/>
      <name val="Calibri"/>
      <family val="2"/>
      <charset val="1"/>
    </font>
    <font>
      <b/>
      <sz val="15"/>
      <color rgb="FFFFFFFF"/>
      <name val="Calibri"/>
      <family val="2"/>
      <charset val="1"/>
    </font>
    <font>
      <sz val="9"/>
      <color rgb="FFD9E1F2"/>
      <name val="Calibri"/>
      <family val="2"/>
      <charset val="1"/>
    </font>
    <font>
      <b/>
      <sz val="9"/>
      <color rgb="FF1F3864"/>
      <name val="Calibri"/>
      <family val="2"/>
      <charset val="1"/>
    </font>
    <font>
      <b/>
      <sz val="11"/>
      <color theme="0"/>
      <name val="Calibri"/>
      <family val="2"/>
      <charset val="1"/>
    </font>
    <font>
      <b/>
      <sz val="9"/>
      <color theme="0"/>
      <name val="Calibri"/>
      <family val="2"/>
      <charset val="1"/>
    </font>
    <font>
      <i/>
      <sz val="9"/>
      <color rgb="FFC00000"/>
      <name val="Calibri"/>
      <family val="2"/>
      <charset val="1"/>
    </font>
    <font>
      <sz val="9"/>
      <name val="Calibri"/>
      <family val="2"/>
    </font>
  </fonts>
  <fills count="21">
    <fill>
      <patternFill patternType="none"/>
    </fill>
    <fill>
      <patternFill patternType="gray125"/>
    </fill>
    <fill>
      <patternFill patternType="solid">
        <fgColor rgb="FF1F3864"/>
        <bgColor rgb="FF17375E"/>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80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theme="3" tint="-0.249977111117893"/>
        <bgColor rgb="FF1F3864"/>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s>
  <borders count="4">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s>
  <cellStyleXfs count="1">
    <xf numFmtId="0" fontId="0" fillId="0" borderId="0"/>
  </cellStyleXfs>
  <cellXfs count="112">
    <xf numFmtId="0" fontId="0" fillId="0" borderId="0" xfId="0"/>
    <xf numFmtId="0" fontId="22" fillId="2" borderId="0" xfId="0" applyFont="1" applyFill="1" applyAlignment="1">
      <alignment horizontal="left" vertical="center" indent="1"/>
    </xf>
    <xf numFmtId="0" fontId="7" fillId="10" borderId="0" xfId="0" applyFont="1" applyFill="1" applyAlignment="1">
      <alignment vertical="top" wrapText="1"/>
    </xf>
    <xf numFmtId="0" fontId="11" fillId="0" borderId="0" xfId="0" applyFont="1" applyAlignment="1">
      <alignment vertical="top" wrapText="1"/>
    </xf>
    <xf numFmtId="0" fontId="4" fillId="9" borderId="0" xfId="0" applyFont="1" applyFill="1" applyAlignment="1">
      <alignment vertical="top" wrapText="1"/>
    </xf>
    <xf numFmtId="0" fontId="0" fillId="0" borderId="0" xfId="0"/>
    <xf numFmtId="0" fontId="15" fillId="9" borderId="0" xfId="0" applyFont="1" applyFill="1"/>
    <xf numFmtId="0" fontId="20" fillId="9" borderId="0" xfId="0" applyFont="1" applyFill="1"/>
    <xf numFmtId="0" fontId="17" fillId="0" borderId="0" xfId="0" applyFont="1"/>
    <xf numFmtId="0" fontId="14"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6" fillId="6"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0" xfId="0" applyFont="1"/>
    <xf numFmtId="0" fontId="11" fillId="0" borderId="0" xfId="0" applyFont="1"/>
    <xf numFmtId="0" fontId="12" fillId="7" borderId="0" xfId="0" applyFont="1" applyFill="1" applyAlignment="1">
      <alignment horizontal="center" vertical="center"/>
    </xf>
    <xf numFmtId="0" fontId="11" fillId="0" borderId="0" xfId="0" applyFont="1" applyAlignment="1">
      <alignment vertical="top"/>
    </xf>
    <xf numFmtId="0" fontId="13" fillId="0" borderId="0" xfId="0" applyFont="1" applyAlignment="1">
      <alignment horizontal="center" vertical="center"/>
    </xf>
    <xf numFmtId="165" fontId="13" fillId="0" borderId="0" xfId="0" applyNumberFormat="1" applyFont="1" applyAlignment="1">
      <alignment horizontal="center" vertical="center"/>
    </xf>
    <xf numFmtId="164"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5" fillId="0" borderId="0" xfId="0" applyFont="1" applyAlignment="1">
      <alignment horizontal="center" vertical="center"/>
    </xf>
    <xf numFmtId="0" fontId="16" fillId="6" borderId="0" xfId="0" applyFont="1" applyFill="1" applyAlignment="1">
      <alignment horizontal="center" vertical="center"/>
    </xf>
    <xf numFmtId="0" fontId="6" fillId="8"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8" fillId="7" borderId="1" xfId="0" applyFont="1" applyFill="1" applyBorder="1" applyAlignment="1">
      <alignment vertical="top" wrapText="1"/>
    </xf>
    <xf numFmtId="164" fontId="8" fillId="0" borderId="1" xfId="0" applyNumberFormat="1" applyFont="1" applyBorder="1" applyAlignment="1">
      <alignment horizontal="center" vertical="center"/>
    </xf>
    <xf numFmtId="0" fontId="19" fillId="0" borderId="1" xfId="0" applyFont="1" applyBorder="1" applyAlignment="1">
      <alignment horizontal="center" vertical="center"/>
    </xf>
    <xf numFmtId="2" fontId="12" fillId="7" borderId="0" xfId="0" applyNumberFormat="1" applyFont="1" applyFill="1" applyAlignment="1">
      <alignment horizontal="center" vertical="center"/>
    </xf>
    <xf numFmtId="2"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65" fontId="13" fillId="0" borderId="1" xfId="0" applyNumberFormat="1" applyFont="1" applyBorder="1" applyAlignment="1">
      <alignment horizontal="center" vertical="center"/>
    </xf>
    <xf numFmtId="0" fontId="21" fillId="6" borderId="1" xfId="0" applyFont="1" applyFill="1" applyBorder="1" applyAlignment="1">
      <alignment horizontal="center" vertical="center"/>
    </xf>
    <xf numFmtId="0" fontId="11" fillId="0" borderId="0" xfId="0" applyFont="1" applyAlignment="1">
      <alignment vertical="top" wrapText="1"/>
    </xf>
    <xf numFmtId="0" fontId="14" fillId="0" borderId="1" xfId="0" applyFont="1" applyBorder="1" applyAlignment="1">
      <alignment vertical="top" wrapText="1"/>
    </xf>
    <xf numFmtId="0" fontId="24" fillId="4" borderId="0" xfId="0" applyFont="1" applyFill="1"/>
    <xf numFmtId="0" fontId="25" fillId="0" borderId="1" xfId="0" applyFont="1" applyBorder="1"/>
    <xf numFmtId="0" fontId="26" fillId="7" borderId="1" xfId="0" applyFont="1" applyFill="1" applyBorder="1" applyAlignment="1">
      <alignment horizontal="center" vertical="center"/>
    </xf>
    <xf numFmtId="0" fontId="28" fillId="4" borderId="1" xfId="0" applyFont="1" applyFill="1" applyBorder="1" applyAlignment="1">
      <alignment horizontal="center" vertical="center" wrapText="1"/>
    </xf>
    <xf numFmtId="0" fontId="29" fillId="11" borderId="1" xfId="0" applyFont="1" applyFill="1" applyBorder="1" applyAlignment="1">
      <alignment vertical="top"/>
    </xf>
    <xf numFmtId="0" fontId="30" fillId="0" borderId="1" xfId="0" applyFont="1" applyBorder="1" applyAlignment="1">
      <alignment horizontal="center" vertical="center"/>
    </xf>
    <xf numFmtId="0" fontId="30" fillId="0" borderId="1" xfId="0" applyFont="1" applyBorder="1" applyAlignment="1">
      <alignment vertical="top"/>
    </xf>
    <xf numFmtId="0" fontId="29" fillId="12" borderId="1" xfId="0" applyFont="1" applyFill="1" applyBorder="1" applyAlignment="1">
      <alignment vertical="top"/>
    </xf>
    <xf numFmtId="0" fontId="29" fillId="13" borderId="1" xfId="0" applyFont="1" applyFill="1" applyBorder="1" applyAlignment="1">
      <alignment vertical="top"/>
    </xf>
    <xf numFmtId="0" fontId="29" fillId="14" borderId="1" xfId="0" applyFont="1" applyFill="1" applyBorder="1" applyAlignment="1">
      <alignment vertical="top"/>
    </xf>
    <xf numFmtId="0" fontId="29" fillId="15" borderId="1" xfId="0" applyFont="1" applyFill="1" applyBorder="1" applyAlignment="1">
      <alignment vertical="top"/>
    </xf>
    <xf numFmtId="0" fontId="32" fillId="0" borderId="1" xfId="0" applyFont="1" applyBorder="1"/>
    <xf numFmtId="0" fontId="33" fillId="7" borderId="1" xfId="0" applyFont="1" applyFill="1" applyBorder="1" applyAlignment="1">
      <alignment horizontal="center"/>
    </xf>
    <xf numFmtId="0" fontId="32" fillId="0" borderId="0" xfId="0" applyFont="1" applyAlignment="1">
      <alignment vertical="center"/>
    </xf>
    <xf numFmtId="0" fontId="0" fillId="0" borderId="0" xfId="0" applyAlignment="1">
      <alignment vertical="center"/>
    </xf>
    <xf numFmtId="0" fontId="32" fillId="0" borderId="1" xfId="0" applyFont="1" applyBorder="1" applyAlignment="1">
      <alignment vertical="center" wrapText="1"/>
    </xf>
    <xf numFmtId="0" fontId="33" fillId="7" borderId="1" xfId="0" applyFont="1" applyFill="1" applyBorder="1" applyAlignment="1">
      <alignment horizontal="center" vertical="center"/>
    </xf>
    <xf numFmtId="0" fontId="37" fillId="4" borderId="1" xfId="0" applyFont="1" applyFill="1" applyBorder="1" applyAlignment="1">
      <alignment horizontal="center" vertical="center" wrapText="1"/>
    </xf>
    <xf numFmtId="0" fontId="38" fillId="0" borderId="1" xfId="0" applyFont="1" applyBorder="1" applyAlignment="1">
      <alignment vertical="top" wrapText="1"/>
    </xf>
    <xf numFmtId="0" fontId="34" fillId="0" borderId="1" xfId="0" applyFont="1" applyBorder="1" applyAlignment="1">
      <alignment vertical="top" wrapText="1"/>
    </xf>
    <xf numFmtId="0" fontId="37" fillId="8" borderId="1" xfId="0" applyFont="1" applyFill="1" applyBorder="1" applyAlignment="1">
      <alignment horizontal="center" vertical="center" wrapText="1"/>
    </xf>
    <xf numFmtId="0" fontId="41" fillId="0" borderId="1" xfId="0" applyFont="1" applyBorder="1" applyAlignment="1">
      <alignment horizontal="center" vertical="center"/>
    </xf>
    <xf numFmtId="0" fontId="34" fillId="0" borderId="1" xfId="0" applyFont="1" applyBorder="1" applyAlignment="1">
      <alignment vertical="center" wrapText="1"/>
    </xf>
    <xf numFmtId="0" fontId="34" fillId="18"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41" fillId="19" borderId="1" xfId="0" applyFont="1" applyFill="1" applyBorder="1" applyAlignment="1">
      <alignment horizontal="center" vertical="center"/>
    </xf>
    <xf numFmtId="0" fontId="34" fillId="19" borderId="1" xfId="0" applyFont="1" applyFill="1" applyBorder="1" applyAlignment="1">
      <alignment vertical="center" wrapText="1"/>
    </xf>
    <xf numFmtId="0" fontId="34" fillId="11" borderId="1" xfId="0" applyFont="1" applyFill="1" applyBorder="1" applyAlignment="1">
      <alignment horizontal="center" vertical="center"/>
    </xf>
    <xf numFmtId="0" fontId="34" fillId="19" borderId="1" xfId="0" applyFont="1" applyFill="1" applyBorder="1" applyAlignment="1">
      <alignment horizontal="center" vertical="center"/>
    </xf>
    <xf numFmtId="0" fontId="34" fillId="19" borderId="1" xfId="0" applyFont="1" applyFill="1" applyBorder="1" applyAlignment="1">
      <alignment horizontal="center" vertical="center" wrapText="1"/>
    </xf>
    <xf numFmtId="0" fontId="34" fillId="12" borderId="1" xfId="0" applyFont="1" applyFill="1" applyBorder="1" applyAlignment="1">
      <alignment horizontal="center" vertical="center"/>
    </xf>
    <xf numFmtId="0" fontId="34" fillId="13" borderId="1" xfId="0" applyFont="1" applyFill="1" applyBorder="1" applyAlignment="1">
      <alignment horizontal="center" vertical="center"/>
    </xf>
    <xf numFmtId="0" fontId="34" fillId="14" borderId="1" xfId="0" applyFont="1" applyFill="1" applyBorder="1" applyAlignment="1">
      <alignment horizontal="center" vertical="center"/>
    </xf>
    <xf numFmtId="0" fontId="34" fillId="15" borderId="1" xfId="0" applyFont="1" applyFill="1" applyBorder="1" applyAlignment="1">
      <alignment horizontal="center" vertical="center"/>
    </xf>
    <xf numFmtId="0" fontId="42" fillId="20" borderId="0" xfId="0" applyFont="1" applyFill="1" applyAlignment="1">
      <alignment vertical="center"/>
    </xf>
    <xf numFmtId="0" fontId="37" fillId="8" borderId="3" xfId="0" applyFont="1" applyFill="1" applyBorder="1" applyAlignment="1">
      <alignment horizontal="center" vertical="center" wrapText="1"/>
    </xf>
    <xf numFmtId="0" fontId="43" fillId="20" borderId="0" xfId="0" applyFont="1" applyFill="1" applyAlignment="1">
      <alignment horizontal="center" vertical="center" wrapText="1"/>
    </xf>
    <xf numFmtId="0" fontId="38" fillId="11" borderId="1" xfId="0" applyFont="1" applyFill="1" applyBorder="1" applyAlignment="1">
      <alignment vertical="top" wrapText="1"/>
    </xf>
    <xf numFmtId="0" fontId="38" fillId="12" borderId="1" xfId="0" applyFont="1" applyFill="1" applyBorder="1" applyAlignment="1">
      <alignment vertical="top" wrapText="1"/>
    </xf>
    <xf numFmtId="0" fontId="38" fillId="13" borderId="1" xfId="0" applyFont="1" applyFill="1" applyBorder="1" applyAlignment="1">
      <alignment vertical="top" wrapText="1"/>
    </xf>
    <xf numFmtId="0" fontId="38" fillId="14" borderId="1" xfId="0" applyFont="1" applyFill="1" applyBorder="1" applyAlignment="1">
      <alignment vertical="top" wrapText="1"/>
    </xf>
    <xf numFmtId="0" fontId="38" fillId="15" borderId="1" xfId="0" applyFont="1" applyFill="1" applyBorder="1" applyAlignment="1">
      <alignment vertical="top" wrapText="1"/>
    </xf>
    <xf numFmtId="0" fontId="38" fillId="19" borderId="1" xfId="0" applyFont="1" applyFill="1" applyBorder="1" applyAlignment="1">
      <alignment vertical="top" wrapText="1"/>
    </xf>
    <xf numFmtId="0" fontId="34" fillId="19" borderId="1" xfId="0" applyFont="1" applyFill="1" applyBorder="1" applyAlignment="1">
      <alignment vertical="top" wrapText="1"/>
    </xf>
    <xf numFmtId="0" fontId="1" fillId="2" borderId="0" xfId="0" applyFont="1" applyFill="1" applyAlignment="1">
      <alignment horizontal="left" vertical="center" wrapText="1" indent="1"/>
    </xf>
    <xf numFmtId="0" fontId="6" fillId="3" borderId="0" xfId="0" applyFont="1" applyFill="1" applyAlignment="1">
      <alignment horizontal="left" vertical="center" wrapText="1" indent="1"/>
    </xf>
    <xf numFmtId="0" fontId="7" fillId="0" borderId="0" xfId="0" applyFont="1" applyAlignment="1">
      <alignment vertical="top" wrapText="1"/>
    </xf>
    <xf numFmtId="0" fontId="45" fillId="0" borderId="1" xfId="0" applyFont="1" applyBorder="1" applyAlignment="1">
      <alignment horizontal="center" vertical="center"/>
    </xf>
    <xf numFmtId="0" fontId="45" fillId="0" borderId="1" xfId="0" applyFont="1" applyBorder="1" applyAlignment="1">
      <alignment vertical="top" wrapText="1"/>
    </xf>
    <xf numFmtId="0" fontId="23" fillId="3" borderId="0" xfId="0" applyFont="1" applyFill="1" applyAlignment="1">
      <alignment horizontal="left" vertical="center" wrapText="1" indent="1"/>
    </xf>
    <xf numFmtId="0" fontId="24" fillId="4" borderId="0" xfId="0" applyFont="1" applyFill="1"/>
    <xf numFmtId="0" fontId="27" fillId="0" borderId="1" xfId="0" applyFont="1" applyBorder="1" applyAlignment="1">
      <alignment vertical="top" wrapText="1"/>
    </xf>
    <xf numFmtId="0" fontId="31" fillId="9" borderId="0" xfId="0" applyFont="1" applyFill="1"/>
    <xf numFmtId="0" fontId="34" fillId="0" borderId="0" xfId="0" applyFont="1" applyAlignment="1">
      <alignment vertical="top" wrapText="1"/>
    </xf>
    <xf numFmtId="0" fontId="35" fillId="0" borderId="0" xfId="0" applyFont="1" applyAlignment="1">
      <alignment vertical="center" wrapText="1"/>
    </xf>
    <xf numFmtId="0" fontId="34" fillId="0" borderId="0" xfId="0" applyFont="1" applyAlignment="1">
      <alignment vertical="center" wrapText="1"/>
    </xf>
    <xf numFmtId="0" fontId="36" fillId="9" borderId="0" xfId="0" applyFont="1" applyFill="1"/>
    <xf numFmtId="0" fontId="34" fillId="0" borderId="1" xfId="0" applyFont="1" applyBorder="1" applyAlignment="1">
      <alignment vertical="top" wrapText="1"/>
    </xf>
    <xf numFmtId="0" fontId="39" fillId="16" borderId="0" xfId="0" applyFont="1" applyFill="1" applyAlignment="1">
      <alignment horizontal="left" vertical="center" indent="1"/>
    </xf>
    <xf numFmtId="0" fontId="40" fillId="17" borderId="0" xfId="0" applyFont="1" applyFill="1" applyAlignment="1">
      <alignment horizontal="left" vertical="center" wrapText="1" indent="1"/>
    </xf>
    <xf numFmtId="0" fontId="31" fillId="9" borderId="0" xfId="0" applyFont="1" applyFill="1" applyAlignment="1">
      <alignment horizontal="left" vertical="center"/>
    </xf>
    <xf numFmtId="0" fontId="31" fillId="9" borderId="2" xfId="0" applyFont="1" applyFill="1" applyBorder="1" applyAlignment="1">
      <alignment horizontal="left" vertical="center"/>
    </xf>
    <xf numFmtId="0" fontId="4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C00"/>
      <rgbColor rgb="FFFF9900"/>
      <rgbColor rgb="FFFF5050"/>
      <rgbColor rgb="FF305496"/>
      <rgbColor rgb="FF7F7F7F"/>
      <rgbColor rgb="FF17375E"/>
      <rgbColor rgb="FF339966"/>
      <rgbColor rgb="FF003300"/>
      <rgbColor rgb="FF333300"/>
      <rgbColor rgb="FF993300"/>
      <rgbColor rgb="FF993366"/>
      <rgbColor rgb="FF2E4A7A"/>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1311120</xdr:colOff>
      <xdr:row>33</xdr:row>
      <xdr:rowOff>14040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153360"/>
          <a:ext cx="6381720" cy="30812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zoomScaleNormal="100" workbookViewId="0"/>
  </sheetViews>
  <sheetFormatPr defaultColWidth="8.6328125" defaultRowHeight="14.5" x14ac:dyDescent="0.35"/>
  <cols>
    <col min="1" max="1" width="22" customWidth="1"/>
    <col min="2" max="6" width="18" customWidth="1"/>
  </cols>
  <sheetData>
    <row r="1" spans="1:6" ht="30" customHeight="1" x14ac:dyDescent="0.35">
      <c r="A1" s="14" t="s">
        <v>0</v>
      </c>
      <c r="B1" s="14"/>
      <c r="C1" s="14"/>
      <c r="D1" s="14"/>
      <c r="E1" s="14"/>
      <c r="F1" s="14"/>
    </row>
    <row r="2" spans="1:6" ht="25.5" customHeight="1" x14ac:dyDescent="0.35">
      <c r="A2" s="13" t="s">
        <v>1</v>
      </c>
      <c r="B2" s="13"/>
      <c r="C2" s="13"/>
      <c r="D2" s="13"/>
      <c r="E2" s="13"/>
      <c r="F2" s="13"/>
    </row>
    <row r="4" spans="1:6" ht="15" customHeight="1" x14ac:dyDescent="0.35">
      <c r="A4" s="12" t="s">
        <v>2</v>
      </c>
      <c r="B4" s="12"/>
      <c r="C4" s="12"/>
      <c r="D4" s="12"/>
      <c r="E4" s="12"/>
      <c r="F4" s="12"/>
    </row>
    <row r="5" spans="1:6" ht="28.5" customHeight="1" x14ac:dyDescent="0.35">
      <c r="A5" s="11" t="s">
        <v>3</v>
      </c>
      <c r="B5" s="11"/>
      <c r="C5" s="11"/>
      <c r="D5" s="11"/>
      <c r="E5" s="11"/>
      <c r="F5" s="11"/>
    </row>
    <row r="6" spans="1:6" ht="21.75" customHeight="1" x14ac:dyDescent="0.35">
      <c r="A6" s="11" t="s">
        <v>4</v>
      </c>
      <c r="B6" s="11"/>
      <c r="C6" s="11"/>
      <c r="D6" s="11"/>
      <c r="E6" s="11"/>
      <c r="F6" s="11"/>
    </row>
    <row r="7" spans="1:6" ht="21.75" customHeight="1" x14ac:dyDescent="0.35">
      <c r="A7" s="11" t="s">
        <v>5</v>
      </c>
      <c r="B7" s="11"/>
      <c r="C7" s="11"/>
      <c r="D7" s="11"/>
      <c r="E7" s="11"/>
      <c r="F7" s="11"/>
    </row>
    <row r="8" spans="1:6" ht="15" customHeight="1" x14ac:dyDescent="0.35">
      <c r="A8" s="11" t="s">
        <v>6</v>
      </c>
      <c r="B8" s="11"/>
      <c r="C8" s="11"/>
      <c r="D8" s="11"/>
      <c r="E8" s="11"/>
      <c r="F8" s="11"/>
    </row>
    <row r="10" spans="1:6" ht="15" customHeight="1" x14ac:dyDescent="0.35">
      <c r="A10" s="10" t="s">
        <v>7</v>
      </c>
      <c r="B10" s="10"/>
      <c r="C10" s="10"/>
      <c r="D10" s="10"/>
      <c r="E10" s="10"/>
      <c r="F10" s="10"/>
    </row>
    <row r="11" spans="1:6" ht="21.75" customHeight="1" x14ac:dyDescent="0.35">
      <c r="A11" s="11" t="s">
        <v>8</v>
      </c>
      <c r="B11" s="11"/>
      <c r="C11" s="11"/>
      <c r="D11" s="11"/>
      <c r="E11" s="11"/>
      <c r="F11" s="11"/>
    </row>
    <row r="12" spans="1:6" ht="28.5" customHeight="1" x14ac:dyDescent="0.35">
      <c r="A12" s="11" t="s">
        <v>9</v>
      </c>
      <c r="B12" s="11"/>
      <c r="C12" s="11"/>
      <c r="D12" s="11"/>
      <c r="E12" s="11"/>
      <c r="F12" s="11"/>
    </row>
    <row r="13" spans="1:6" ht="28.5" customHeight="1" x14ac:dyDescent="0.35">
      <c r="A13" s="11" t="s">
        <v>10</v>
      </c>
      <c r="B13" s="11"/>
      <c r="C13" s="11"/>
      <c r="D13" s="11"/>
      <c r="E13" s="11"/>
      <c r="F13" s="11"/>
    </row>
    <row r="15" spans="1:6" ht="15" customHeight="1" x14ac:dyDescent="0.35">
      <c r="A15" s="10" t="s">
        <v>11</v>
      </c>
      <c r="B15" s="10"/>
      <c r="C15" s="10"/>
      <c r="D15" s="10"/>
      <c r="E15" s="10"/>
      <c r="F15" s="10"/>
    </row>
    <row r="16" spans="1:6" ht="28.5" customHeight="1" x14ac:dyDescent="0.35">
      <c r="A16" s="11" t="s">
        <v>12</v>
      </c>
      <c r="B16" s="11"/>
      <c r="C16" s="11"/>
      <c r="D16" s="11"/>
      <c r="E16" s="11"/>
      <c r="F16" s="11"/>
    </row>
  </sheetData>
  <mergeCells count="13">
    <mergeCell ref="A13:F13"/>
    <mergeCell ref="A15:F15"/>
    <mergeCell ref="A16:F16"/>
    <mergeCell ref="A7:F7"/>
    <mergeCell ref="A8:F8"/>
    <mergeCell ref="A10:F10"/>
    <mergeCell ref="A11:F11"/>
    <mergeCell ref="A12:F12"/>
    <mergeCell ref="A1:F1"/>
    <mergeCell ref="A2:F2"/>
    <mergeCell ref="A4:F4"/>
    <mergeCell ref="A5:F5"/>
    <mergeCell ref="A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6"/>
  <sheetViews>
    <sheetView zoomScaleNormal="100" workbookViewId="0">
      <selection activeCell="A2" sqref="A2:XFD2"/>
    </sheetView>
  </sheetViews>
  <sheetFormatPr defaultColWidth="8.6328125" defaultRowHeight="14.5" x14ac:dyDescent="0.35"/>
  <cols>
    <col min="1" max="1" width="8" customWidth="1"/>
    <col min="2" max="2" width="10" customWidth="1"/>
    <col min="3" max="3" width="26" customWidth="1"/>
    <col min="4" max="4" width="24" customWidth="1"/>
    <col min="5" max="5" width="15" customWidth="1"/>
    <col min="6" max="6" width="9" customWidth="1"/>
    <col min="7" max="7" width="26"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4" ht="30" customHeight="1" x14ac:dyDescent="0.35">
      <c r="A1" s="14" t="s">
        <v>13</v>
      </c>
      <c r="B1" s="14"/>
      <c r="C1" s="14"/>
      <c r="D1" s="14"/>
      <c r="E1" s="14"/>
      <c r="F1" s="14"/>
      <c r="G1" s="14"/>
      <c r="H1" s="14"/>
      <c r="I1" s="14"/>
      <c r="J1" s="14"/>
      <c r="K1" s="14"/>
      <c r="L1" s="14"/>
      <c r="M1" s="14"/>
      <c r="N1" s="14"/>
    </row>
    <row r="3" spans="1:14" ht="39.75" customHeight="1" x14ac:dyDescent="0.35">
      <c r="A3" s="15" t="s">
        <v>14</v>
      </c>
      <c r="B3" s="15" t="s">
        <v>15</v>
      </c>
      <c r="C3" s="15" t="s">
        <v>16</v>
      </c>
      <c r="D3" s="15" t="s">
        <v>17</v>
      </c>
      <c r="E3" s="15" t="s">
        <v>18</v>
      </c>
      <c r="F3" s="15" t="s">
        <v>19</v>
      </c>
      <c r="G3" s="15" t="s">
        <v>20</v>
      </c>
      <c r="H3" s="15" t="s">
        <v>21</v>
      </c>
      <c r="I3" s="15" t="s">
        <v>22</v>
      </c>
      <c r="J3" s="15" t="s">
        <v>23</v>
      </c>
      <c r="K3" s="15" t="s">
        <v>24</v>
      </c>
      <c r="L3" s="15" t="s">
        <v>25</v>
      </c>
      <c r="M3" s="15" t="s">
        <v>26</v>
      </c>
      <c r="N3" s="15" t="s">
        <v>27</v>
      </c>
    </row>
    <row r="4" spans="1:14" ht="21.75" customHeight="1" x14ac:dyDescent="0.35">
      <c r="A4" s="16" t="s">
        <v>28</v>
      </c>
      <c r="B4" s="16" t="s">
        <v>29</v>
      </c>
      <c r="C4" s="17" t="s">
        <v>30</v>
      </c>
      <c r="D4" s="17" t="s">
        <v>31</v>
      </c>
      <c r="E4" s="17" t="s">
        <v>32</v>
      </c>
      <c r="F4" s="16" t="s">
        <v>33</v>
      </c>
      <c r="G4" s="17" t="s">
        <v>34</v>
      </c>
      <c r="H4" s="17" t="s">
        <v>35</v>
      </c>
      <c r="I4" s="17" t="s">
        <v>36</v>
      </c>
      <c r="J4" s="16" t="s">
        <v>37</v>
      </c>
      <c r="K4" s="17" t="s">
        <v>38</v>
      </c>
      <c r="L4" s="17" t="s">
        <v>39</v>
      </c>
      <c r="M4" s="17" t="s">
        <v>40</v>
      </c>
      <c r="N4" s="16">
        <v>30</v>
      </c>
    </row>
    <row r="5" spans="1:14" ht="32.25" customHeight="1" x14ac:dyDescent="0.35">
      <c r="A5" s="18" t="s">
        <v>41</v>
      </c>
      <c r="B5" s="18" t="s">
        <v>29</v>
      </c>
      <c r="C5" s="19" t="s">
        <v>42</v>
      </c>
      <c r="D5" s="19" t="s">
        <v>43</v>
      </c>
      <c r="E5" s="19" t="s">
        <v>32</v>
      </c>
      <c r="F5" s="18" t="s">
        <v>33</v>
      </c>
      <c r="G5" s="19" t="s">
        <v>44</v>
      </c>
      <c r="H5" s="19" t="s">
        <v>35</v>
      </c>
      <c r="I5" s="19" t="s">
        <v>45</v>
      </c>
      <c r="J5" s="18" t="s">
        <v>37</v>
      </c>
      <c r="K5" s="19" t="s">
        <v>46</v>
      </c>
      <c r="L5" s="19" t="s">
        <v>47</v>
      </c>
      <c r="M5" s="19" t="s">
        <v>48</v>
      </c>
      <c r="N5" s="18">
        <v>30</v>
      </c>
    </row>
    <row r="6" spans="1:14" ht="21.75" customHeight="1" x14ac:dyDescent="0.35">
      <c r="A6" s="16" t="s">
        <v>49</v>
      </c>
      <c r="B6" s="16" t="s">
        <v>29</v>
      </c>
      <c r="C6" s="17" t="s">
        <v>50</v>
      </c>
      <c r="D6" s="17" t="s">
        <v>51</v>
      </c>
      <c r="E6" s="17" t="s">
        <v>32</v>
      </c>
      <c r="F6" s="20" t="s">
        <v>52</v>
      </c>
      <c r="G6" s="17" t="s">
        <v>53</v>
      </c>
      <c r="H6" s="17" t="s">
        <v>35</v>
      </c>
      <c r="I6" s="17" t="s">
        <v>36</v>
      </c>
      <c r="J6" s="16" t="s">
        <v>37</v>
      </c>
      <c r="K6" s="17" t="s">
        <v>54</v>
      </c>
      <c r="L6" s="17" t="s">
        <v>55</v>
      </c>
      <c r="M6" s="17" t="s">
        <v>56</v>
      </c>
      <c r="N6" s="16">
        <v>35</v>
      </c>
    </row>
    <row r="7" spans="1:14" ht="21.75" customHeight="1" x14ac:dyDescent="0.35">
      <c r="A7" s="18" t="s">
        <v>57</v>
      </c>
      <c r="B7" s="18" t="s">
        <v>29</v>
      </c>
      <c r="C7" s="19" t="s">
        <v>58</v>
      </c>
      <c r="D7" s="19" t="s">
        <v>59</v>
      </c>
      <c r="E7" s="19" t="s">
        <v>32</v>
      </c>
      <c r="F7" s="18" t="s">
        <v>33</v>
      </c>
      <c r="G7" s="19" t="s">
        <v>60</v>
      </c>
      <c r="H7" s="19" t="s">
        <v>35</v>
      </c>
      <c r="I7" s="19" t="s">
        <v>36</v>
      </c>
      <c r="J7" s="18" t="s">
        <v>37</v>
      </c>
      <c r="K7" s="19" t="s">
        <v>38</v>
      </c>
      <c r="L7" s="19" t="s">
        <v>61</v>
      </c>
      <c r="M7" s="19" t="s">
        <v>62</v>
      </c>
      <c r="N7" s="18">
        <v>25</v>
      </c>
    </row>
    <row r="8" spans="1:14" ht="21.75" customHeight="1" x14ac:dyDescent="0.35">
      <c r="A8" s="16" t="s">
        <v>63</v>
      </c>
      <c r="B8" s="16" t="s">
        <v>29</v>
      </c>
      <c r="C8" s="17" t="s">
        <v>64</v>
      </c>
      <c r="D8" s="17" t="s">
        <v>65</v>
      </c>
      <c r="E8" s="17" t="s">
        <v>32</v>
      </c>
      <c r="F8" s="16" t="s">
        <v>33</v>
      </c>
      <c r="G8" s="17" t="s">
        <v>66</v>
      </c>
      <c r="H8" s="17" t="s">
        <v>35</v>
      </c>
      <c r="I8" s="17" t="s">
        <v>36</v>
      </c>
      <c r="J8" s="16" t="s">
        <v>67</v>
      </c>
      <c r="K8" s="17" t="s">
        <v>46</v>
      </c>
      <c r="L8" s="17" t="s">
        <v>68</v>
      </c>
      <c r="M8" s="17" t="s">
        <v>69</v>
      </c>
      <c r="N8" s="16">
        <v>40</v>
      </c>
    </row>
    <row r="9" spans="1:14" ht="32.25" customHeight="1" x14ac:dyDescent="0.35">
      <c r="A9" s="18" t="s">
        <v>70</v>
      </c>
      <c r="B9" s="18" t="s">
        <v>29</v>
      </c>
      <c r="C9" s="19" t="s">
        <v>71</v>
      </c>
      <c r="D9" s="19" t="s">
        <v>72</v>
      </c>
      <c r="E9" s="19" t="s">
        <v>73</v>
      </c>
      <c r="F9" s="18" t="s">
        <v>33</v>
      </c>
      <c r="G9" s="19" t="s">
        <v>74</v>
      </c>
      <c r="H9" s="19" t="s">
        <v>75</v>
      </c>
      <c r="I9" s="19" t="s">
        <v>76</v>
      </c>
      <c r="J9" s="18" t="s">
        <v>37</v>
      </c>
      <c r="K9" s="19" t="s">
        <v>77</v>
      </c>
      <c r="L9" s="19" t="s">
        <v>78</v>
      </c>
      <c r="M9" s="19" t="s">
        <v>79</v>
      </c>
      <c r="N9" s="18">
        <v>30</v>
      </c>
    </row>
    <row r="10" spans="1:14" ht="21.75" customHeight="1" x14ac:dyDescent="0.35">
      <c r="A10" s="16" t="s">
        <v>80</v>
      </c>
      <c r="B10" s="16" t="s">
        <v>29</v>
      </c>
      <c r="C10" s="17" t="s">
        <v>81</v>
      </c>
      <c r="D10" s="17" t="s">
        <v>82</v>
      </c>
      <c r="E10" s="17" t="s">
        <v>83</v>
      </c>
      <c r="F10" s="20" t="s">
        <v>52</v>
      </c>
      <c r="G10" s="17" t="s">
        <v>84</v>
      </c>
      <c r="H10" s="17" t="s">
        <v>75</v>
      </c>
      <c r="I10" s="17" t="s">
        <v>76</v>
      </c>
      <c r="J10" s="16" t="s">
        <v>37</v>
      </c>
      <c r="K10" s="17" t="s">
        <v>77</v>
      </c>
      <c r="L10" s="17" t="s">
        <v>85</v>
      </c>
      <c r="M10" s="17" t="s">
        <v>56</v>
      </c>
      <c r="N10" s="16">
        <v>35</v>
      </c>
    </row>
    <row r="11" spans="1:14" ht="21.75" customHeight="1" x14ac:dyDescent="0.35">
      <c r="A11" s="18" t="s">
        <v>86</v>
      </c>
      <c r="B11" s="18" t="s">
        <v>29</v>
      </c>
      <c r="C11" s="19" t="s">
        <v>87</v>
      </c>
      <c r="D11" s="19" t="s">
        <v>88</v>
      </c>
      <c r="E11" s="19" t="s">
        <v>83</v>
      </c>
      <c r="F11" s="18" t="s">
        <v>33</v>
      </c>
      <c r="G11" s="19" t="s">
        <v>89</v>
      </c>
      <c r="H11" s="19" t="s">
        <v>75</v>
      </c>
      <c r="I11" s="19" t="s">
        <v>45</v>
      </c>
      <c r="J11" s="18" t="s">
        <v>37</v>
      </c>
      <c r="K11" s="19" t="s">
        <v>77</v>
      </c>
      <c r="L11" s="19" t="s">
        <v>90</v>
      </c>
      <c r="M11" s="19" t="s">
        <v>56</v>
      </c>
      <c r="N11" s="18">
        <v>35</v>
      </c>
    </row>
    <row r="12" spans="1:14" ht="21.75" customHeight="1" x14ac:dyDescent="0.35">
      <c r="A12" s="16" t="s">
        <v>91</v>
      </c>
      <c r="B12" s="16" t="s">
        <v>29</v>
      </c>
      <c r="C12" s="17" t="s">
        <v>92</v>
      </c>
      <c r="D12" s="17" t="s">
        <v>93</v>
      </c>
      <c r="E12" s="17" t="s">
        <v>83</v>
      </c>
      <c r="F12" s="16" t="s">
        <v>33</v>
      </c>
      <c r="G12" s="17" t="s">
        <v>94</v>
      </c>
      <c r="H12" s="17" t="s">
        <v>75</v>
      </c>
      <c r="I12" s="17" t="s">
        <v>76</v>
      </c>
      <c r="J12" s="16" t="s">
        <v>37</v>
      </c>
      <c r="K12" s="17" t="s">
        <v>77</v>
      </c>
      <c r="L12" s="17" t="s">
        <v>95</v>
      </c>
      <c r="M12" s="17" t="s">
        <v>96</v>
      </c>
      <c r="N12" s="16">
        <v>30</v>
      </c>
    </row>
    <row r="13" spans="1:14" ht="21.75" customHeight="1" x14ac:dyDescent="0.35">
      <c r="A13" s="18" t="s">
        <v>97</v>
      </c>
      <c r="B13" s="18" t="s">
        <v>29</v>
      </c>
      <c r="C13" s="19" t="s">
        <v>98</v>
      </c>
      <c r="D13" s="19" t="s">
        <v>99</v>
      </c>
      <c r="E13" s="19" t="s">
        <v>83</v>
      </c>
      <c r="F13" s="18" t="s">
        <v>33</v>
      </c>
      <c r="G13" s="19" t="s">
        <v>100</v>
      </c>
      <c r="H13" s="19" t="s">
        <v>75</v>
      </c>
      <c r="I13" s="19" t="s">
        <v>76</v>
      </c>
      <c r="J13" s="18" t="s">
        <v>37</v>
      </c>
      <c r="K13" s="19" t="s">
        <v>77</v>
      </c>
      <c r="L13" s="19" t="s">
        <v>101</v>
      </c>
      <c r="M13" s="19" t="s">
        <v>102</v>
      </c>
      <c r="N13" s="18">
        <v>30</v>
      </c>
    </row>
    <row r="14" spans="1:14" ht="21.75" customHeight="1" x14ac:dyDescent="0.35">
      <c r="A14" s="16" t="s">
        <v>103</v>
      </c>
      <c r="B14" s="16" t="s">
        <v>29</v>
      </c>
      <c r="C14" s="17" t="s">
        <v>104</v>
      </c>
      <c r="D14" s="17" t="s">
        <v>105</v>
      </c>
      <c r="E14" s="17" t="s">
        <v>83</v>
      </c>
      <c r="F14" s="16" t="s">
        <v>33</v>
      </c>
      <c r="G14" s="17" t="s">
        <v>106</v>
      </c>
      <c r="H14" s="17" t="s">
        <v>75</v>
      </c>
      <c r="I14" s="17" t="s">
        <v>76</v>
      </c>
      <c r="J14" s="16" t="s">
        <v>37</v>
      </c>
      <c r="K14" s="17" t="s">
        <v>77</v>
      </c>
      <c r="L14" s="17" t="s">
        <v>107</v>
      </c>
      <c r="M14" s="17" t="s">
        <v>102</v>
      </c>
      <c r="N14" s="16">
        <v>30</v>
      </c>
    </row>
    <row r="15" spans="1:14" ht="32.25" customHeight="1" x14ac:dyDescent="0.35">
      <c r="A15" s="18" t="s">
        <v>108</v>
      </c>
      <c r="B15" s="18" t="s">
        <v>29</v>
      </c>
      <c r="C15" s="19" t="s">
        <v>109</v>
      </c>
      <c r="D15" s="19" t="s">
        <v>110</v>
      </c>
      <c r="E15" s="19" t="s">
        <v>83</v>
      </c>
      <c r="F15" s="18" t="s">
        <v>33</v>
      </c>
      <c r="G15" s="19" t="s">
        <v>111</v>
      </c>
      <c r="H15" s="19" t="s">
        <v>75</v>
      </c>
      <c r="I15" s="19" t="s">
        <v>76</v>
      </c>
      <c r="J15" s="18" t="s">
        <v>37</v>
      </c>
      <c r="K15" s="19" t="s">
        <v>112</v>
      </c>
      <c r="L15" s="19" t="s">
        <v>113</v>
      </c>
      <c r="M15" s="19" t="s">
        <v>114</v>
      </c>
      <c r="N15" s="18">
        <v>40</v>
      </c>
    </row>
    <row r="16" spans="1:14" ht="32.25" customHeight="1" x14ac:dyDescent="0.35">
      <c r="A16" s="16" t="s">
        <v>115</v>
      </c>
      <c r="B16" s="16" t="s">
        <v>29</v>
      </c>
      <c r="C16" s="17" t="s">
        <v>116</v>
      </c>
      <c r="D16" s="17" t="s">
        <v>117</v>
      </c>
      <c r="E16" s="17" t="s">
        <v>83</v>
      </c>
      <c r="F16" s="16" t="s">
        <v>33</v>
      </c>
      <c r="G16" s="17" t="s">
        <v>118</v>
      </c>
      <c r="H16" s="17" t="s">
        <v>119</v>
      </c>
      <c r="I16" s="17" t="s">
        <v>45</v>
      </c>
      <c r="J16" s="16" t="s">
        <v>37</v>
      </c>
      <c r="K16" s="17" t="s">
        <v>77</v>
      </c>
      <c r="L16" s="17" t="s">
        <v>120</v>
      </c>
      <c r="M16" s="17" t="s">
        <v>121</v>
      </c>
      <c r="N16" s="16">
        <v>35</v>
      </c>
    </row>
    <row r="17" spans="1:14" ht="21.75" customHeight="1" x14ac:dyDescent="0.35">
      <c r="A17" s="18" t="s">
        <v>122</v>
      </c>
      <c r="B17" s="18" t="s">
        <v>29</v>
      </c>
      <c r="C17" s="19" t="s">
        <v>123</v>
      </c>
      <c r="D17" s="19" t="s">
        <v>124</v>
      </c>
      <c r="E17" s="19" t="s">
        <v>83</v>
      </c>
      <c r="F17" s="20" t="s">
        <v>52</v>
      </c>
      <c r="G17" s="19" t="s">
        <v>125</v>
      </c>
      <c r="H17" s="19" t="s">
        <v>119</v>
      </c>
      <c r="I17" s="19" t="s">
        <v>45</v>
      </c>
      <c r="J17" s="18" t="s">
        <v>37</v>
      </c>
      <c r="K17" s="19" t="s">
        <v>112</v>
      </c>
      <c r="L17" s="19" t="s">
        <v>126</v>
      </c>
      <c r="M17" s="19" t="s">
        <v>127</v>
      </c>
      <c r="N17" s="18">
        <v>35</v>
      </c>
    </row>
    <row r="18" spans="1:14" ht="32.25" customHeight="1" x14ac:dyDescent="0.35">
      <c r="A18" s="16" t="s">
        <v>128</v>
      </c>
      <c r="B18" s="16" t="s">
        <v>29</v>
      </c>
      <c r="C18" s="17" t="s">
        <v>129</v>
      </c>
      <c r="D18" s="17" t="s">
        <v>130</v>
      </c>
      <c r="E18" s="17" t="s">
        <v>83</v>
      </c>
      <c r="F18" s="16" t="s">
        <v>33</v>
      </c>
      <c r="G18" s="17" t="s">
        <v>131</v>
      </c>
      <c r="H18" s="17" t="s">
        <v>75</v>
      </c>
      <c r="I18" s="17" t="s">
        <v>76</v>
      </c>
      <c r="J18" s="16" t="s">
        <v>37</v>
      </c>
      <c r="K18" s="17" t="s">
        <v>112</v>
      </c>
      <c r="L18" s="17" t="s">
        <v>132</v>
      </c>
      <c r="M18" s="17" t="s">
        <v>133</v>
      </c>
      <c r="N18" s="16">
        <v>40</v>
      </c>
    </row>
    <row r="19" spans="1:14" ht="21.75" customHeight="1" x14ac:dyDescent="0.35">
      <c r="A19" s="18" t="s">
        <v>134</v>
      </c>
      <c r="B19" s="18" t="s">
        <v>29</v>
      </c>
      <c r="C19" s="19" t="s">
        <v>135</v>
      </c>
      <c r="D19" s="19" t="s">
        <v>136</v>
      </c>
      <c r="E19" s="19" t="s">
        <v>137</v>
      </c>
      <c r="F19" s="18" t="s">
        <v>33</v>
      </c>
      <c r="G19" s="19" t="s">
        <v>138</v>
      </c>
      <c r="H19" s="19" t="s">
        <v>139</v>
      </c>
      <c r="I19" s="19" t="s">
        <v>140</v>
      </c>
      <c r="J19" s="18" t="s">
        <v>67</v>
      </c>
      <c r="K19" s="19" t="s">
        <v>46</v>
      </c>
      <c r="L19" s="19" t="s">
        <v>141</v>
      </c>
      <c r="M19" s="19" t="s">
        <v>142</v>
      </c>
      <c r="N19" s="18">
        <v>50</v>
      </c>
    </row>
    <row r="20" spans="1:14" ht="21.75" customHeight="1" x14ac:dyDescent="0.35">
      <c r="A20" s="16" t="s">
        <v>143</v>
      </c>
      <c r="B20" s="16" t="s">
        <v>29</v>
      </c>
      <c r="C20" s="17" t="s">
        <v>144</v>
      </c>
      <c r="D20" s="17" t="s">
        <v>145</v>
      </c>
      <c r="E20" s="17" t="s">
        <v>137</v>
      </c>
      <c r="F20" s="16" t="s">
        <v>33</v>
      </c>
      <c r="G20" s="17" t="s">
        <v>146</v>
      </c>
      <c r="H20" s="17" t="s">
        <v>139</v>
      </c>
      <c r="I20" s="17" t="s">
        <v>140</v>
      </c>
      <c r="J20" s="16" t="s">
        <v>67</v>
      </c>
      <c r="K20" s="17" t="s">
        <v>46</v>
      </c>
      <c r="L20" s="17" t="s">
        <v>147</v>
      </c>
      <c r="M20" s="17" t="s">
        <v>148</v>
      </c>
      <c r="N20" s="16">
        <v>50</v>
      </c>
    </row>
    <row r="21" spans="1:14" ht="21.75" customHeight="1" x14ac:dyDescent="0.35">
      <c r="A21" s="18" t="s">
        <v>149</v>
      </c>
      <c r="B21" s="18" t="s">
        <v>29</v>
      </c>
      <c r="C21" s="19" t="s">
        <v>150</v>
      </c>
      <c r="D21" s="19" t="s">
        <v>151</v>
      </c>
      <c r="E21" s="19" t="s">
        <v>152</v>
      </c>
      <c r="F21" s="18" t="s">
        <v>33</v>
      </c>
      <c r="G21" s="19" t="s">
        <v>153</v>
      </c>
      <c r="H21" s="19" t="s">
        <v>154</v>
      </c>
      <c r="I21" s="19" t="s">
        <v>155</v>
      </c>
      <c r="J21" s="18" t="s">
        <v>67</v>
      </c>
      <c r="K21" s="19" t="s">
        <v>46</v>
      </c>
      <c r="L21" s="19" t="s">
        <v>156</v>
      </c>
      <c r="M21" s="19" t="s">
        <v>157</v>
      </c>
      <c r="N21" s="18">
        <v>40</v>
      </c>
    </row>
    <row r="22" spans="1:14" ht="42.75" customHeight="1" x14ac:dyDescent="0.35">
      <c r="A22" s="16" t="s">
        <v>158</v>
      </c>
      <c r="B22" s="16" t="s">
        <v>29</v>
      </c>
      <c r="C22" s="17" t="s">
        <v>159</v>
      </c>
      <c r="D22" s="17" t="s">
        <v>160</v>
      </c>
      <c r="E22" s="17" t="s">
        <v>161</v>
      </c>
      <c r="F22" s="16" t="s">
        <v>33</v>
      </c>
      <c r="G22" s="17" t="s">
        <v>162</v>
      </c>
      <c r="H22" s="17" t="s">
        <v>163</v>
      </c>
      <c r="I22" s="17" t="s">
        <v>164</v>
      </c>
      <c r="J22" s="16" t="s">
        <v>67</v>
      </c>
      <c r="K22" s="17" t="s">
        <v>112</v>
      </c>
      <c r="L22" s="17" t="s">
        <v>165</v>
      </c>
      <c r="M22" s="17" t="s">
        <v>166</v>
      </c>
      <c r="N22" s="16">
        <v>40</v>
      </c>
    </row>
    <row r="23" spans="1:14" ht="32.25" customHeight="1" x14ac:dyDescent="0.35">
      <c r="A23" s="18" t="s">
        <v>167</v>
      </c>
      <c r="B23" s="18" t="s">
        <v>29</v>
      </c>
      <c r="C23" s="19" t="s">
        <v>168</v>
      </c>
      <c r="D23" s="19" t="s">
        <v>169</v>
      </c>
      <c r="E23" s="19" t="s">
        <v>73</v>
      </c>
      <c r="F23" s="18" t="s">
        <v>33</v>
      </c>
      <c r="G23" s="19" t="s">
        <v>170</v>
      </c>
      <c r="H23" s="19" t="s">
        <v>163</v>
      </c>
      <c r="I23" s="19" t="s">
        <v>164</v>
      </c>
      <c r="J23" s="18" t="s">
        <v>67</v>
      </c>
      <c r="K23" s="19" t="s">
        <v>46</v>
      </c>
      <c r="L23" s="19" t="s">
        <v>171</v>
      </c>
      <c r="M23" s="19" t="s">
        <v>172</v>
      </c>
      <c r="N23" s="18">
        <v>40</v>
      </c>
    </row>
    <row r="24" spans="1:14" ht="32.25" customHeight="1" x14ac:dyDescent="0.35">
      <c r="A24" s="16" t="s">
        <v>173</v>
      </c>
      <c r="B24" s="16" t="s">
        <v>29</v>
      </c>
      <c r="C24" s="17" t="s">
        <v>174</v>
      </c>
      <c r="D24" s="17" t="s">
        <v>175</v>
      </c>
      <c r="E24" s="17" t="s">
        <v>176</v>
      </c>
      <c r="F24" s="16" t="s">
        <v>33</v>
      </c>
      <c r="G24" s="17" t="s">
        <v>177</v>
      </c>
      <c r="H24" s="17" t="s">
        <v>75</v>
      </c>
      <c r="I24" s="17" t="s">
        <v>45</v>
      </c>
      <c r="J24" s="16" t="s">
        <v>67</v>
      </c>
      <c r="K24" s="17" t="s">
        <v>46</v>
      </c>
      <c r="L24" s="17" t="s">
        <v>178</v>
      </c>
      <c r="M24" s="17" t="s">
        <v>179</v>
      </c>
      <c r="N24" s="16">
        <v>40</v>
      </c>
    </row>
    <row r="25" spans="1:14" ht="21.75" customHeight="1" x14ac:dyDescent="0.35">
      <c r="A25" s="18" t="s">
        <v>180</v>
      </c>
      <c r="B25" s="18" t="s">
        <v>29</v>
      </c>
      <c r="C25" s="19" t="s">
        <v>181</v>
      </c>
      <c r="D25" s="19" t="s">
        <v>182</v>
      </c>
      <c r="E25" s="19" t="s">
        <v>176</v>
      </c>
      <c r="F25" s="18" t="s">
        <v>33</v>
      </c>
      <c r="G25" s="19" t="s">
        <v>183</v>
      </c>
      <c r="H25" s="19" t="s">
        <v>184</v>
      </c>
      <c r="I25" s="19" t="s">
        <v>185</v>
      </c>
      <c r="J25" s="18" t="s">
        <v>37</v>
      </c>
      <c r="K25" s="19" t="s">
        <v>46</v>
      </c>
      <c r="L25" s="19" t="s">
        <v>186</v>
      </c>
      <c r="M25" s="19" t="s">
        <v>187</v>
      </c>
      <c r="N25" s="18">
        <v>40</v>
      </c>
    </row>
    <row r="26" spans="1:14" ht="32.25" customHeight="1" x14ac:dyDescent="0.35">
      <c r="A26" s="16" t="s">
        <v>188</v>
      </c>
      <c r="B26" s="16" t="s">
        <v>29</v>
      </c>
      <c r="C26" s="17" t="s">
        <v>189</v>
      </c>
      <c r="D26" s="17" t="s">
        <v>190</v>
      </c>
      <c r="E26" s="17" t="s">
        <v>176</v>
      </c>
      <c r="F26" s="16" t="s">
        <v>33</v>
      </c>
      <c r="G26" s="17" t="s">
        <v>191</v>
      </c>
      <c r="H26" s="17" t="s">
        <v>184</v>
      </c>
      <c r="I26" s="17" t="s">
        <v>185</v>
      </c>
      <c r="J26" s="16" t="s">
        <v>37</v>
      </c>
      <c r="K26" s="17" t="s">
        <v>46</v>
      </c>
      <c r="L26" s="17" t="s">
        <v>192</v>
      </c>
      <c r="M26" s="17" t="s">
        <v>193</v>
      </c>
      <c r="N26" s="16">
        <v>40</v>
      </c>
    </row>
    <row r="27" spans="1:14" ht="32.25" customHeight="1" x14ac:dyDescent="0.35">
      <c r="A27" s="18" t="s">
        <v>194</v>
      </c>
      <c r="B27" s="18" t="s">
        <v>29</v>
      </c>
      <c r="C27" s="19" t="s">
        <v>195</v>
      </c>
      <c r="D27" s="19" t="s">
        <v>196</v>
      </c>
      <c r="E27" s="19" t="s">
        <v>176</v>
      </c>
      <c r="F27" s="18" t="s">
        <v>33</v>
      </c>
      <c r="G27" s="19" t="s">
        <v>197</v>
      </c>
      <c r="H27" s="19" t="s">
        <v>163</v>
      </c>
      <c r="I27" s="19" t="s">
        <v>164</v>
      </c>
      <c r="J27" s="18" t="s">
        <v>37</v>
      </c>
      <c r="K27" s="19" t="s">
        <v>112</v>
      </c>
      <c r="L27" s="19" t="s">
        <v>198</v>
      </c>
      <c r="M27" s="19" t="s">
        <v>199</v>
      </c>
      <c r="N27" s="18">
        <v>40</v>
      </c>
    </row>
    <row r="28" spans="1:14" ht="21.75" customHeight="1" x14ac:dyDescent="0.35">
      <c r="A28" s="16" t="s">
        <v>200</v>
      </c>
      <c r="B28" s="16" t="s">
        <v>29</v>
      </c>
      <c r="C28" s="17" t="s">
        <v>201</v>
      </c>
      <c r="D28" s="17" t="s">
        <v>202</v>
      </c>
      <c r="E28" s="17" t="s">
        <v>203</v>
      </c>
      <c r="F28" s="16" t="s">
        <v>33</v>
      </c>
      <c r="G28" s="17" t="s">
        <v>204</v>
      </c>
      <c r="H28" s="17" t="s">
        <v>163</v>
      </c>
      <c r="I28" s="17" t="s">
        <v>45</v>
      </c>
      <c r="J28" s="16" t="s">
        <v>67</v>
      </c>
      <c r="K28" s="17" t="s">
        <v>46</v>
      </c>
      <c r="L28" s="17" t="s">
        <v>205</v>
      </c>
      <c r="M28" s="17" t="s">
        <v>206</v>
      </c>
      <c r="N28" s="16">
        <v>40</v>
      </c>
    </row>
    <row r="29" spans="1:14" ht="21.75" customHeight="1" x14ac:dyDescent="0.35">
      <c r="A29" s="18" t="s">
        <v>207</v>
      </c>
      <c r="B29" s="18" t="s">
        <v>29</v>
      </c>
      <c r="C29" s="19" t="s">
        <v>208</v>
      </c>
      <c r="D29" s="19" t="s">
        <v>209</v>
      </c>
      <c r="E29" s="19" t="s">
        <v>210</v>
      </c>
      <c r="F29" s="20" t="s">
        <v>52</v>
      </c>
      <c r="G29" s="19" t="s">
        <v>211</v>
      </c>
      <c r="H29" s="19" t="s">
        <v>119</v>
      </c>
      <c r="I29" s="19" t="s">
        <v>45</v>
      </c>
      <c r="J29" s="18" t="s">
        <v>37</v>
      </c>
      <c r="K29" s="19" t="s">
        <v>54</v>
      </c>
      <c r="L29" s="19" t="s">
        <v>212</v>
      </c>
      <c r="M29" s="19" t="s">
        <v>213</v>
      </c>
      <c r="N29" s="18">
        <v>35</v>
      </c>
    </row>
    <row r="30" spans="1:14" ht="32.25" customHeight="1" x14ac:dyDescent="0.35">
      <c r="A30" s="16" t="s">
        <v>214</v>
      </c>
      <c r="B30" s="16" t="s">
        <v>29</v>
      </c>
      <c r="C30" s="17" t="s">
        <v>215</v>
      </c>
      <c r="D30" s="17" t="s">
        <v>216</v>
      </c>
      <c r="E30" s="17" t="s">
        <v>210</v>
      </c>
      <c r="F30" s="16" t="s">
        <v>33</v>
      </c>
      <c r="G30" s="17" t="s">
        <v>217</v>
      </c>
      <c r="H30" s="17" t="s">
        <v>218</v>
      </c>
      <c r="I30" s="17" t="s">
        <v>219</v>
      </c>
      <c r="J30" s="16" t="s">
        <v>67</v>
      </c>
      <c r="K30" s="17" t="s">
        <v>46</v>
      </c>
      <c r="L30" s="17" t="s">
        <v>220</v>
      </c>
      <c r="M30" s="17" t="s">
        <v>221</v>
      </c>
      <c r="N30" s="16">
        <v>50</v>
      </c>
    </row>
    <row r="31" spans="1:14" ht="21.75" customHeight="1" x14ac:dyDescent="0.35">
      <c r="A31" s="18" t="s">
        <v>222</v>
      </c>
      <c r="B31" s="18" t="s">
        <v>29</v>
      </c>
      <c r="C31" s="19" t="s">
        <v>223</v>
      </c>
      <c r="D31" s="19" t="s">
        <v>224</v>
      </c>
      <c r="E31" s="19" t="s">
        <v>225</v>
      </c>
      <c r="F31" s="18" t="s">
        <v>33</v>
      </c>
      <c r="G31" s="19" t="s">
        <v>226</v>
      </c>
      <c r="H31" s="19" t="s">
        <v>218</v>
      </c>
      <c r="I31" s="19" t="s">
        <v>227</v>
      </c>
      <c r="J31" s="18" t="s">
        <v>37</v>
      </c>
      <c r="K31" s="19" t="s">
        <v>77</v>
      </c>
      <c r="L31" s="19" t="s">
        <v>228</v>
      </c>
      <c r="M31" s="19" t="s">
        <v>229</v>
      </c>
      <c r="N31" s="18">
        <v>40</v>
      </c>
    </row>
    <row r="32" spans="1:14" ht="32.25" customHeight="1" x14ac:dyDescent="0.35">
      <c r="A32" s="16" t="s">
        <v>230</v>
      </c>
      <c r="B32" s="16" t="s">
        <v>29</v>
      </c>
      <c r="C32" s="17" t="s">
        <v>231</v>
      </c>
      <c r="D32" s="17" t="s">
        <v>232</v>
      </c>
      <c r="E32" s="17" t="s">
        <v>233</v>
      </c>
      <c r="F32" s="16" t="s">
        <v>33</v>
      </c>
      <c r="G32" s="17" t="s">
        <v>234</v>
      </c>
      <c r="H32" s="17" t="s">
        <v>163</v>
      </c>
      <c r="I32" s="17" t="s">
        <v>45</v>
      </c>
      <c r="J32" s="16" t="s">
        <v>67</v>
      </c>
      <c r="K32" s="17" t="s">
        <v>46</v>
      </c>
      <c r="L32" s="17" t="s">
        <v>235</v>
      </c>
      <c r="M32" s="17" t="s">
        <v>236</v>
      </c>
      <c r="N32" s="16">
        <v>40</v>
      </c>
    </row>
    <row r="33" spans="1:14" ht="21.75" customHeight="1" x14ac:dyDescent="0.35">
      <c r="A33" s="18" t="s">
        <v>237</v>
      </c>
      <c r="B33" s="18" t="s">
        <v>29</v>
      </c>
      <c r="C33" s="19" t="s">
        <v>238</v>
      </c>
      <c r="D33" s="19" t="s">
        <v>239</v>
      </c>
      <c r="E33" s="19" t="s">
        <v>240</v>
      </c>
      <c r="F33" s="18" t="s">
        <v>33</v>
      </c>
      <c r="G33" s="19" t="s">
        <v>241</v>
      </c>
      <c r="H33" s="19" t="s">
        <v>242</v>
      </c>
      <c r="I33" s="19" t="s">
        <v>243</v>
      </c>
      <c r="J33" s="18" t="s">
        <v>37</v>
      </c>
      <c r="K33" s="19" t="s">
        <v>112</v>
      </c>
      <c r="L33" s="19" t="s">
        <v>244</v>
      </c>
      <c r="M33" s="19" t="s">
        <v>245</v>
      </c>
      <c r="N33" s="18">
        <v>40</v>
      </c>
    </row>
    <row r="34" spans="1:14" ht="21.75" customHeight="1" x14ac:dyDescent="0.35">
      <c r="A34" s="16" t="s">
        <v>246</v>
      </c>
      <c r="B34" s="16" t="s">
        <v>29</v>
      </c>
      <c r="C34" s="17" t="s">
        <v>247</v>
      </c>
      <c r="D34" s="17" t="s">
        <v>248</v>
      </c>
      <c r="E34" s="17" t="s">
        <v>249</v>
      </c>
      <c r="F34" s="16" t="s">
        <v>33</v>
      </c>
      <c r="G34" s="17" t="s">
        <v>250</v>
      </c>
      <c r="H34" s="17" t="s">
        <v>251</v>
      </c>
      <c r="I34" s="17" t="s">
        <v>252</v>
      </c>
      <c r="J34" s="16" t="s">
        <v>67</v>
      </c>
      <c r="K34" s="17" t="s">
        <v>46</v>
      </c>
      <c r="L34" s="17" t="s">
        <v>253</v>
      </c>
      <c r="M34" s="17" t="s">
        <v>254</v>
      </c>
      <c r="N34" s="16">
        <v>50</v>
      </c>
    </row>
    <row r="35" spans="1:14" ht="32.25" customHeight="1" x14ac:dyDescent="0.35">
      <c r="A35" s="18" t="s">
        <v>255</v>
      </c>
      <c r="B35" s="18" t="s">
        <v>29</v>
      </c>
      <c r="C35" s="19" t="s">
        <v>256</v>
      </c>
      <c r="D35" s="19" t="s">
        <v>257</v>
      </c>
      <c r="E35" s="19" t="s">
        <v>249</v>
      </c>
      <c r="F35" s="20" t="s">
        <v>52</v>
      </c>
      <c r="G35" s="19" t="s">
        <v>258</v>
      </c>
      <c r="H35" s="19" t="s">
        <v>119</v>
      </c>
      <c r="I35" s="19" t="s">
        <v>45</v>
      </c>
      <c r="J35" s="18" t="s">
        <v>67</v>
      </c>
      <c r="K35" s="19" t="s">
        <v>46</v>
      </c>
      <c r="L35" s="19" t="s">
        <v>259</v>
      </c>
      <c r="M35" s="19" t="s">
        <v>260</v>
      </c>
      <c r="N35" s="18">
        <v>40</v>
      </c>
    </row>
    <row r="36" spans="1:14" ht="21.75" customHeight="1" x14ac:dyDescent="0.35">
      <c r="A36" s="16" t="s">
        <v>261</v>
      </c>
      <c r="B36" s="16" t="s">
        <v>29</v>
      </c>
      <c r="C36" s="17" t="s">
        <v>262</v>
      </c>
      <c r="D36" s="17" t="s">
        <v>263</v>
      </c>
      <c r="E36" s="17" t="s">
        <v>264</v>
      </c>
      <c r="F36" s="16" t="s">
        <v>33</v>
      </c>
      <c r="G36" s="17" t="s">
        <v>265</v>
      </c>
      <c r="H36" s="17" t="s">
        <v>266</v>
      </c>
      <c r="I36" s="17" t="s">
        <v>267</v>
      </c>
      <c r="J36" s="16" t="s">
        <v>67</v>
      </c>
      <c r="K36" s="17" t="s">
        <v>46</v>
      </c>
      <c r="L36" s="17" t="s">
        <v>268</v>
      </c>
      <c r="M36" s="17" t="s">
        <v>269</v>
      </c>
      <c r="N36" s="16">
        <v>40</v>
      </c>
    </row>
    <row r="37" spans="1:14" ht="32.25" customHeight="1" x14ac:dyDescent="0.35">
      <c r="A37" s="18" t="s">
        <v>270</v>
      </c>
      <c r="B37" s="18" t="s">
        <v>29</v>
      </c>
      <c r="C37" s="19" t="s">
        <v>271</v>
      </c>
      <c r="D37" s="19" t="s">
        <v>272</v>
      </c>
      <c r="E37" s="19" t="s">
        <v>264</v>
      </c>
      <c r="F37" s="18" t="s">
        <v>33</v>
      </c>
      <c r="G37" s="19" t="s">
        <v>273</v>
      </c>
      <c r="H37" s="19" t="s">
        <v>266</v>
      </c>
      <c r="I37" s="19" t="s">
        <v>267</v>
      </c>
      <c r="J37" s="18" t="s">
        <v>37</v>
      </c>
      <c r="K37" s="19" t="s">
        <v>54</v>
      </c>
      <c r="L37" s="19" t="s">
        <v>274</v>
      </c>
      <c r="M37" s="19" t="s">
        <v>275</v>
      </c>
      <c r="N37" s="18">
        <v>30</v>
      </c>
    </row>
    <row r="38" spans="1:14" ht="74.25" customHeight="1" x14ac:dyDescent="0.35">
      <c r="A38" s="16" t="s">
        <v>276</v>
      </c>
      <c r="B38" s="16" t="s">
        <v>29</v>
      </c>
      <c r="C38" s="17" t="s">
        <v>277</v>
      </c>
      <c r="D38" s="17" t="s">
        <v>278</v>
      </c>
      <c r="E38" s="17" t="s">
        <v>264</v>
      </c>
      <c r="F38" s="20" t="s">
        <v>52</v>
      </c>
      <c r="G38" s="17" t="s">
        <v>279</v>
      </c>
      <c r="H38" s="17" t="s">
        <v>266</v>
      </c>
      <c r="I38" s="17" t="s">
        <v>267</v>
      </c>
      <c r="J38" s="16" t="s">
        <v>67</v>
      </c>
      <c r="K38" s="17" t="s">
        <v>46</v>
      </c>
      <c r="L38" s="17" t="s">
        <v>280</v>
      </c>
      <c r="M38" s="17" t="s">
        <v>281</v>
      </c>
      <c r="N38" s="16">
        <v>50</v>
      </c>
    </row>
    <row r="39" spans="1:14" ht="21.75" customHeight="1" x14ac:dyDescent="0.35">
      <c r="A39" s="18" t="s">
        <v>282</v>
      </c>
      <c r="B39" s="18" t="s">
        <v>29</v>
      </c>
      <c r="C39" s="19" t="s">
        <v>283</v>
      </c>
      <c r="D39" s="19" t="s">
        <v>284</v>
      </c>
      <c r="E39" s="19" t="s">
        <v>285</v>
      </c>
      <c r="F39" s="18" t="s">
        <v>33</v>
      </c>
      <c r="G39" s="19" t="s">
        <v>286</v>
      </c>
      <c r="H39" s="19" t="s">
        <v>163</v>
      </c>
      <c r="I39" s="19" t="s">
        <v>45</v>
      </c>
      <c r="J39" s="18" t="s">
        <v>67</v>
      </c>
      <c r="K39" s="19" t="s">
        <v>46</v>
      </c>
      <c r="L39" s="19" t="s">
        <v>287</v>
      </c>
      <c r="M39" s="19" t="s">
        <v>288</v>
      </c>
      <c r="N39" s="18">
        <v>50</v>
      </c>
    </row>
    <row r="40" spans="1:14" ht="21.75" customHeight="1" x14ac:dyDescent="0.35">
      <c r="A40" s="16" t="s">
        <v>289</v>
      </c>
      <c r="B40" s="16" t="s">
        <v>29</v>
      </c>
      <c r="C40" s="17" t="s">
        <v>290</v>
      </c>
      <c r="D40" s="17" t="s">
        <v>291</v>
      </c>
      <c r="E40" s="17" t="s">
        <v>292</v>
      </c>
      <c r="F40" s="16" t="s">
        <v>33</v>
      </c>
      <c r="G40" s="17" t="s">
        <v>293</v>
      </c>
      <c r="H40" s="17" t="s">
        <v>163</v>
      </c>
      <c r="I40" s="17" t="s">
        <v>45</v>
      </c>
      <c r="J40" s="16" t="s">
        <v>67</v>
      </c>
      <c r="K40" s="17" t="s">
        <v>46</v>
      </c>
      <c r="L40" s="17" t="s">
        <v>294</v>
      </c>
      <c r="M40" s="17" t="s">
        <v>295</v>
      </c>
      <c r="N40" s="16">
        <v>50</v>
      </c>
    </row>
    <row r="41" spans="1:14" ht="32.25" customHeight="1" x14ac:dyDescent="0.35">
      <c r="A41" s="18" t="s">
        <v>296</v>
      </c>
      <c r="B41" s="18" t="s">
        <v>29</v>
      </c>
      <c r="C41" s="19" t="s">
        <v>297</v>
      </c>
      <c r="D41" s="19" t="s">
        <v>298</v>
      </c>
      <c r="E41" s="19" t="s">
        <v>292</v>
      </c>
      <c r="F41" s="18" t="s">
        <v>33</v>
      </c>
      <c r="G41" s="19" t="s">
        <v>299</v>
      </c>
      <c r="H41" s="19" t="s">
        <v>300</v>
      </c>
      <c r="I41" s="19" t="s">
        <v>301</v>
      </c>
      <c r="J41" s="18" t="s">
        <v>67</v>
      </c>
      <c r="K41" s="19" t="s">
        <v>302</v>
      </c>
      <c r="L41" s="19" t="s">
        <v>303</v>
      </c>
      <c r="M41" s="19" t="s">
        <v>304</v>
      </c>
      <c r="N41" s="18">
        <v>40</v>
      </c>
    </row>
    <row r="42" spans="1:14" ht="32.25" customHeight="1" x14ac:dyDescent="0.35">
      <c r="A42" s="16" t="s">
        <v>305</v>
      </c>
      <c r="B42" s="16" t="s">
        <v>29</v>
      </c>
      <c r="C42" s="17" t="s">
        <v>306</v>
      </c>
      <c r="D42" s="17" t="s">
        <v>307</v>
      </c>
      <c r="E42" s="17" t="s">
        <v>73</v>
      </c>
      <c r="F42" s="16" t="s">
        <v>33</v>
      </c>
      <c r="G42" s="17" t="s">
        <v>308</v>
      </c>
      <c r="H42" s="17" t="s">
        <v>309</v>
      </c>
      <c r="I42" s="17" t="s">
        <v>310</v>
      </c>
      <c r="J42" s="16" t="s">
        <v>67</v>
      </c>
      <c r="K42" s="17" t="s">
        <v>112</v>
      </c>
      <c r="L42" s="17" t="s">
        <v>311</v>
      </c>
      <c r="M42" s="17" t="s">
        <v>312</v>
      </c>
      <c r="N42" s="16">
        <v>50</v>
      </c>
    </row>
    <row r="43" spans="1:14" ht="21.75" customHeight="1" x14ac:dyDescent="0.35">
      <c r="A43" s="18" t="s">
        <v>313</v>
      </c>
      <c r="B43" s="18" t="s">
        <v>29</v>
      </c>
      <c r="C43" s="19" t="s">
        <v>314</v>
      </c>
      <c r="D43" s="19" t="s">
        <v>315</v>
      </c>
      <c r="E43" s="19" t="s">
        <v>73</v>
      </c>
      <c r="F43" s="18" t="s">
        <v>33</v>
      </c>
      <c r="G43" s="19" t="s">
        <v>316</v>
      </c>
      <c r="H43" s="19" t="s">
        <v>309</v>
      </c>
      <c r="I43" s="19" t="s">
        <v>310</v>
      </c>
      <c r="J43" s="18" t="s">
        <v>67</v>
      </c>
      <c r="K43" s="19" t="s">
        <v>112</v>
      </c>
      <c r="L43" s="19" t="s">
        <v>317</v>
      </c>
      <c r="M43" s="19" t="s">
        <v>312</v>
      </c>
      <c r="N43" s="18">
        <v>50</v>
      </c>
    </row>
    <row r="44" spans="1:14" ht="21.75" customHeight="1" x14ac:dyDescent="0.35">
      <c r="A44" s="16" t="s">
        <v>318</v>
      </c>
      <c r="B44" s="16" t="s">
        <v>29</v>
      </c>
      <c r="C44" s="17" t="s">
        <v>319</v>
      </c>
      <c r="D44" s="17" t="s">
        <v>320</v>
      </c>
      <c r="E44" s="17" t="s">
        <v>321</v>
      </c>
      <c r="F44" s="16" t="s">
        <v>33</v>
      </c>
      <c r="G44" s="17" t="s">
        <v>322</v>
      </c>
      <c r="H44" s="17" t="s">
        <v>323</v>
      </c>
      <c r="I44" s="17" t="s">
        <v>324</v>
      </c>
      <c r="J44" s="16" t="s">
        <v>37</v>
      </c>
      <c r="K44" s="17" t="s">
        <v>325</v>
      </c>
      <c r="L44" s="17" t="s">
        <v>326</v>
      </c>
      <c r="M44" s="17" t="s">
        <v>327</v>
      </c>
      <c r="N44" s="16">
        <v>40</v>
      </c>
    </row>
    <row r="45" spans="1:14" ht="21.75" customHeight="1" x14ac:dyDescent="0.35">
      <c r="A45" s="18" t="s">
        <v>328</v>
      </c>
      <c r="B45" s="18" t="s">
        <v>29</v>
      </c>
      <c r="C45" s="19" t="s">
        <v>329</v>
      </c>
      <c r="D45" s="19" t="s">
        <v>330</v>
      </c>
      <c r="E45" s="19" t="s">
        <v>321</v>
      </c>
      <c r="F45" s="18" t="s">
        <v>33</v>
      </c>
      <c r="G45" s="19" t="s">
        <v>331</v>
      </c>
      <c r="H45" s="19" t="s">
        <v>323</v>
      </c>
      <c r="I45" s="19" t="s">
        <v>324</v>
      </c>
      <c r="J45" s="18" t="s">
        <v>37</v>
      </c>
      <c r="K45" s="19" t="s">
        <v>325</v>
      </c>
      <c r="L45" s="19" t="s">
        <v>332</v>
      </c>
      <c r="M45" s="19" t="s">
        <v>333</v>
      </c>
      <c r="N45" s="18">
        <v>40</v>
      </c>
    </row>
    <row r="46" spans="1:14" ht="21.75" customHeight="1" x14ac:dyDescent="0.35">
      <c r="A46" s="16" t="s">
        <v>334</v>
      </c>
      <c r="B46" s="16" t="s">
        <v>29</v>
      </c>
      <c r="C46" s="17" t="s">
        <v>335</v>
      </c>
      <c r="D46" s="17" t="s">
        <v>336</v>
      </c>
      <c r="E46" s="17" t="s">
        <v>83</v>
      </c>
      <c r="F46" s="16" t="s">
        <v>33</v>
      </c>
      <c r="G46" s="17" t="s">
        <v>337</v>
      </c>
      <c r="H46" s="17" t="s">
        <v>323</v>
      </c>
      <c r="I46" s="17" t="s">
        <v>324</v>
      </c>
      <c r="J46" s="16" t="s">
        <v>37</v>
      </c>
      <c r="K46" s="17" t="s">
        <v>325</v>
      </c>
      <c r="L46" s="17" t="s">
        <v>338</v>
      </c>
      <c r="M46" s="17" t="s">
        <v>339</v>
      </c>
      <c r="N46" s="16">
        <v>40</v>
      </c>
    </row>
  </sheetData>
  <mergeCells count="1">
    <mergeCell ref="A1:N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
  <sheetViews>
    <sheetView tabSelected="1" zoomScaleNormal="100" workbookViewId="0">
      <selection sqref="A1:I1"/>
    </sheetView>
  </sheetViews>
  <sheetFormatPr defaultColWidth="8.6328125" defaultRowHeight="14.5" x14ac:dyDescent="0.35"/>
  <cols>
    <col min="1" max="1" width="8" customWidth="1"/>
    <col min="2" max="2" width="26" customWidth="1"/>
    <col min="3" max="3" width="10" customWidth="1"/>
    <col min="4" max="4" width="30" customWidth="1"/>
    <col min="5" max="5" width="34" customWidth="1"/>
    <col min="6" max="6" width="42" customWidth="1"/>
    <col min="7" max="7" width="9" customWidth="1"/>
    <col min="8" max="9" width="34" customWidth="1"/>
  </cols>
  <sheetData>
    <row r="1" spans="1:9" ht="30" customHeight="1" x14ac:dyDescent="0.35">
      <c r="A1" s="14" t="s">
        <v>340</v>
      </c>
      <c r="B1" s="14"/>
      <c r="C1" s="14"/>
      <c r="D1" s="14"/>
      <c r="E1" s="14"/>
      <c r="F1" s="14"/>
      <c r="G1" s="14"/>
      <c r="H1" s="14"/>
      <c r="I1" s="14"/>
    </row>
    <row r="2" spans="1:9" ht="25.5" customHeight="1" x14ac:dyDescent="0.35">
      <c r="A2" s="13" t="s">
        <v>341</v>
      </c>
      <c r="B2" s="13"/>
      <c r="C2" s="13"/>
      <c r="D2" s="13"/>
      <c r="E2" s="13"/>
      <c r="F2" s="13"/>
      <c r="G2" s="13"/>
      <c r="H2" s="13"/>
      <c r="I2" s="13"/>
    </row>
    <row r="4" spans="1:9" ht="37.5" customHeight="1" x14ac:dyDescent="0.35">
      <c r="A4" s="15" t="s">
        <v>14</v>
      </c>
      <c r="B4" s="15" t="s">
        <v>16</v>
      </c>
      <c r="C4" s="15" t="s">
        <v>15</v>
      </c>
      <c r="D4" s="15" t="s">
        <v>342</v>
      </c>
      <c r="E4" s="15" t="s">
        <v>343</v>
      </c>
      <c r="F4" s="15" t="s">
        <v>344</v>
      </c>
      <c r="G4" s="15" t="s">
        <v>27</v>
      </c>
      <c r="H4" s="15" t="s">
        <v>345</v>
      </c>
      <c r="I4" s="15" t="s">
        <v>346</v>
      </c>
    </row>
    <row r="5" spans="1:9" ht="32.25" customHeight="1" x14ac:dyDescent="0.35">
      <c r="A5" s="16" t="s">
        <v>28</v>
      </c>
      <c r="B5" s="17" t="s">
        <v>30</v>
      </c>
      <c r="C5" s="16" t="s">
        <v>29</v>
      </c>
      <c r="D5" s="17" t="s">
        <v>34</v>
      </c>
      <c r="E5" s="17" t="s">
        <v>39</v>
      </c>
      <c r="F5" s="17" t="s">
        <v>40</v>
      </c>
      <c r="G5" s="21">
        <f>INDEX('Indicator Master'!$N$4:$N$46,MATCH($A5,'Indicator Master'!$A$4:$A$46,0))</f>
        <v>30</v>
      </c>
      <c r="H5" s="17" t="s">
        <v>347</v>
      </c>
      <c r="I5" s="17" t="s">
        <v>348</v>
      </c>
    </row>
    <row r="6" spans="1:9" ht="32.25" customHeight="1" x14ac:dyDescent="0.35">
      <c r="A6" s="18" t="s">
        <v>41</v>
      </c>
      <c r="B6" s="19" t="s">
        <v>42</v>
      </c>
      <c r="C6" s="18" t="s">
        <v>29</v>
      </c>
      <c r="D6" s="19" t="s">
        <v>44</v>
      </c>
      <c r="E6" s="19" t="s">
        <v>47</v>
      </c>
      <c r="F6" s="19" t="s">
        <v>48</v>
      </c>
      <c r="G6" s="22">
        <f>INDEX('Indicator Master'!$N$4:$N$46,MATCH($A6,'Indicator Master'!$A$4:$A$46,0))</f>
        <v>30</v>
      </c>
      <c r="H6" s="19" t="s">
        <v>347</v>
      </c>
      <c r="I6" s="19" t="s">
        <v>348</v>
      </c>
    </row>
    <row r="7" spans="1:9" ht="32.25" customHeight="1" x14ac:dyDescent="0.35">
      <c r="A7" s="16" t="s">
        <v>49</v>
      </c>
      <c r="B7" s="17" t="s">
        <v>50</v>
      </c>
      <c r="C7" s="16" t="s">
        <v>29</v>
      </c>
      <c r="D7" s="17" t="s">
        <v>53</v>
      </c>
      <c r="E7" s="17" t="s">
        <v>55</v>
      </c>
      <c r="F7" s="17" t="s">
        <v>56</v>
      </c>
      <c r="G7" s="21">
        <f>INDEX('Indicator Master'!$N$4:$N$46,MATCH($A7,'Indicator Master'!$A$4:$A$46,0))</f>
        <v>35</v>
      </c>
      <c r="H7" s="17" t="s">
        <v>347</v>
      </c>
      <c r="I7" s="17" t="s">
        <v>348</v>
      </c>
    </row>
    <row r="8" spans="1:9" ht="32.25" customHeight="1" x14ac:dyDescent="0.35">
      <c r="A8" s="18" t="s">
        <v>57</v>
      </c>
      <c r="B8" s="19" t="s">
        <v>58</v>
      </c>
      <c r="C8" s="18" t="s">
        <v>29</v>
      </c>
      <c r="D8" s="19" t="s">
        <v>60</v>
      </c>
      <c r="E8" s="19" t="s">
        <v>61</v>
      </c>
      <c r="F8" s="19" t="s">
        <v>62</v>
      </c>
      <c r="G8" s="22">
        <f>INDEX('Indicator Master'!$N$4:$N$46,MATCH($A8,'Indicator Master'!$A$4:$A$46,0))</f>
        <v>25</v>
      </c>
      <c r="H8" s="19" t="s">
        <v>347</v>
      </c>
      <c r="I8" s="19" t="s">
        <v>348</v>
      </c>
    </row>
    <row r="9" spans="1:9" ht="32.25" customHeight="1" x14ac:dyDescent="0.35">
      <c r="A9" s="16" t="s">
        <v>63</v>
      </c>
      <c r="B9" s="17" t="s">
        <v>64</v>
      </c>
      <c r="C9" s="16" t="s">
        <v>29</v>
      </c>
      <c r="D9" s="17" t="s">
        <v>66</v>
      </c>
      <c r="E9" s="17" t="s">
        <v>68</v>
      </c>
      <c r="F9" s="17" t="s">
        <v>69</v>
      </c>
      <c r="G9" s="21">
        <f>INDEX('Indicator Master'!$N$4:$N$46,MATCH($A9,'Indicator Master'!$A$4:$A$46,0))</f>
        <v>40</v>
      </c>
      <c r="H9" s="17" t="s">
        <v>347</v>
      </c>
      <c r="I9" s="17" t="s">
        <v>348</v>
      </c>
    </row>
    <row r="10" spans="1:9" ht="32.25" customHeight="1" x14ac:dyDescent="0.35">
      <c r="A10" s="18" t="s">
        <v>70</v>
      </c>
      <c r="B10" s="19" t="s">
        <v>71</v>
      </c>
      <c r="C10" s="18" t="s">
        <v>29</v>
      </c>
      <c r="D10" s="19" t="s">
        <v>74</v>
      </c>
      <c r="E10" s="19" t="s">
        <v>78</v>
      </c>
      <c r="F10" s="19" t="s">
        <v>79</v>
      </c>
      <c r="G10" s="22">
        <f>INDEX('Indicator Master'!$N$4:$N$46,MATCH($A10,'Indicator Master'!$A$4:$A$46,0))</f>
        <v>30</v>
      </c>
      <c r="H10" s="19" t="s">
        <v>347</v>
      </c>
      <c r="I10" s="19" t="s">
        <v>348</v>
      </c>
    </row>
    <row r="11" spans="1:9" ht="32.25" customHeight="1" x14ac:dyDescent="0.35">
      <c r="A11" s="16" t="s">
        <v>80</v>
      </c>
      <c r="B11" s="17" t="s">
        <v>81</v>
      </c>
      <c r="C11" s="16" t="s">
        <v>29</v>
      </c>
      <c r="D11" s="17" t="s">
        <v>84</v>
      </c>
      <c r="E11" s="17" t="s">
        <v>85</v>
      </c>
      <c r="F11" s="17" t="s">
        <v>56</v>
      </c>
      <c r="G11" s="21">
        <f>INDEX('Indicator Master'!$N$4:$N$46,MATCH($A11,'Indicator Master'!$A$4:$A$46,0))</f>
        <v>35</v>
      </c>
      <c r="H11" s="17" t="s">
        <v>347</v>
      </c>
      <c r="I11" s="17" t="s">
        <v>348</v>
      </c>
    </row>
    <row r="12" spans="1:9" ht="32.25" customHeight="1" x14ac:dyDescent="0.35">
      <c r="A12" s="18" t="s">
        <v>86</v>
      </c>
      <c r="B12" s="19" t="s">
        <v>87</v>
      </c>
      <c r="C12" s="18" t="s">
        <v>29</v>
      </c>
      <c r="D12" s="19" t="s">
        <v>89</v>
      </c>
      <c r="E12" s="19" t="s">
        <v>90</v>
      </c>
      <c r="F12" s="19" t="s">
        <v>56</v>
      </c>
      <c r="G12" s="22">
        <f>INDEX('Indicator Master'!$N$4:$N$46,MATCH($A12,'Indicator Master'!$A$4:$A$46,0))</f>
        <v>35</v>
      </c>
      <c r="H12" s="19" t="s">
        <v>347</v>
      </c>
      <c r="I12" s="19" t="s">
        <v>348</v>
      </c>
    </row>
    <row r="13" spans="1:9" ht="32.25" customHeight="1" x14ac:dyDescent="0.35">
      <c r="A13" s="16" t="s">
        <v>91</v>
      </c>
      <c r="B13" s="17" t="s">
        <v>92</v>
      </c>
      <c r="C13" s="16" t="s">
        <v>29</v>
      </c>
      <c r="D13" s="17" t="s">
        <v>94</v>
      </c>
      <c r="E13" s="17" t="s">
        <v>95</v>
      </c>
      <c r="F13" s="17" t="s">
        <v>96</v>
      </c>
      <c r="G13" s="21">
        <f>INDEX('Indicator Master'!$N$4:$N$46,MATCH($A13,'Indicator Master'!$A$4:$A$46,0))</f>
        <v>30</v>
      </c>
      <c r="H13" s="17" t="s">
        <v>347</v>
      </c>
      <c r="I13" s="17" t="s">
        <v>348</v>
      </c>
    </row>
    <row r="14" spans="1:9" ht="32.25" customHeight="1" x14ac:dyDescent="0.35">
      <c r="A14" s="18" t="s">
        <v>97</v>
      </c>
      <c r="B14" s="19" t="s">
        <v>98</v>
      </c>
      <c r="C14" s="18" t="s">
        <v>29</v>
      </c>
      <c r="D14" s="19" t="s">
        <v>100</v>
      </c>
      <c r="E14" s="19" t="s">
        <v>101</v>
      </c>
      <c r="F14" s="19" t="s">
        <v>102</v>
      </c>
      <c r="G14" s="22">
        <f>INDEX('Indicator Master'!$N$4:$N$46,MATCH($A14,'Indicator Master'!$A$4:$A$46,0))</f>
        <v>30</v>
      </c>
      <c r="H14" s="19" t="s">
        <v>347</v>
      </c>
      <c r="I14" s="19" t="s">
        <v>348</v>
      </c>
    </row>
    <row r="15" spans="1:9" ht="32.25" customHeight="1" x14ac:dyDescent="0.35">
      <c r="A15" s="16" t="s">
        <v>103</v>
      </c>
      <c r="B15" s="17" t="s">
        <v>104</v>
      </c>
      <c r="C15" s="16" t="s">
        <v>29</v>
      </c>
      <c r="D15" s="17" t="s">
        <v>106</v>
      </c>
      <c r="E15" s="17" t="s">
        <v>107</v>
      </c>
      <c r="F15" s="17" t="s">
        <v>102</v>
      </c>
      <c r="G15" s="21">
        <f>INDEX('Indicator Master'!$N$4:$N$46,MATCH($A15,'Indicator Master'!$A$4:$A$46,0))</f>
        <v>30</v>
      </c>
      <c r="H15" s="17" t="s">
        <v>347</v>
      </c>
      <c r="I15" s="17" t="s">
        <v>348</v>
      </c>
    </row>
    <row r="16" spans="1:9" ht="32.25" customHeight="1" x14ac:dyDescent="0.35">
      <c r="A16" s="18" t="s">
        <v>108</v>
      </c>
      <c r="B16" s="19" t="s">
        <v>109</v>
      </c>
      <c r="C16" s="18" t="s">
        <v>29</v>
      </c>
      <c r="D16" s="19" t="s">
        <v>111</v>
      </c>
      <c r="E16" s="19" t="s">
        <v>113</v>
      </c>
      <c r="F16" s="19" t="s">
        <v>114</v>
      </c>
      <c r="G16" s="22">
        <f>INDEX('Indicator Master'!$N$4:$N$46,MATCH($A16,'Indicator Master'!$A$4:$A$46,0))</f>
        <v>40</v>
      </c>
      <c r="H16" s="19" t="s">
        <v>347</v>
      </c>
      <c r="I16" s="19" t="s">
        <v>348</v>
      </c>
    </row>
    <row r="17" spans="1:9" ht="32.25" customHeight="1" x14ac:dyDescent="0.35">
      <c r="A17" s="16" t="s">
        <v>115</v>
      </c>
      <c r="B17" s="17" t="s">
        <v>116</v>
      </c>
      <c r="C17" s="16" t="s">
        <v>29</v>
      </c>
      <c r="D17" s="17" t="s">
        <v>118</v>
      </c>
      <c r="E17" s="17" t="s">
        <v>120</v>
      </c>
      <c r="F17" s="17" t="s">
        <v>121</v>
      </c>
      <c r="G17" s="21">
        <f>INDEX('Indicator Master'!$N$4:$N$46,MATCH($A17,'Indicator Master'!$A$4:$A$46,0))</f>
        <v>35</v>
      </c>
      <c r="H17" s="17" t="s">
        <v>347</v>
      </c>
      <c r="I17" s="17" t="s">
        <v>348</v>
      </c>
    </row>
    <row r="18" spans="1:9" ht="32.25" customHeight="1" x14ac:dyDescent="0.35">
      <c r="A18" s="18" t="s">
        <v>122</v>
      </c>
      <c r="B18" s="19" t="s">
        <v>123</v>
      </c>
      <c r="C18" s="18" t="s">
        <v>29</v>
      </c>
      <c r="D18" s="19" t="s">
        <v>125</v>
      </c>
      <c r="E18" s="19" t="s">
        <v>126</v>
      </c>
      <c r="F18" s="19" t="s">
        <v>127</v>
      </c>
      <c r="G18" s="22">
        <f>INDEX('Indicator Master'!$N$4:$N$46,MATCH($A18,'Indicator Master'!$A$4:$A$46,0))</f>
        <v>35</v>
      </c>
      <c r="H18" s="19" t="s">
        <v>347</v>
      </c>
      <c r="I18" s="19" t="s">
        <v>348</v>
      </c>
    </row>
    <row r="19" spans="1:9" ht="32.25" customHeight="1" x14ac:dyDescent="0.35">
      <c r="A19" s="16" t="s">
        <v>128</v>
      </c>
      <c r="B19" s="17" t="s">
        <v>129</v>
      </c>
      <c r="C19" s="16" t="s">
        <v>29</v>
      </c>
      <c r="D19" s="17" t="s">
        <v>131</v>
      </c>
      <c r="E19" s="17" t="s">
        <v>132</v>
      </c>
      <c r="F19" s="17" t="s">
        <v>133</v>
      </c>
      <c r="G19" s="21">
        <f>INDEX('Indicator Master'!$N$4:$N$46,MATCH($A19,'Indicator Master'!$A$4:$A$46,0))</f>
        <v>40</v>
      </c>
      <c r="H19" s="17" t="s">
        <v>347</v>
      </c>
      <c r="I19" s="17" t="s">
        <v>348</v>
      </c>
    </row>
    <row r="20" spans="1:9" ht="32.25" customHeight="1" x14ac:dyDescent="0.35">
      <c r="A20" s="18" t="s">
        <v>134</v>
      </c>
      <c r="B20" s="19" t="s">
        <v>135</v>
      </c>
      <c r="C20" s="18" t="s">
        <v>29</v>
      </c>
      <c r="D20" s="19" t="s">
        <v>138</v>
      </c>
      <c r="E20" s="19" t="s">
        <v>141</v>
      </c>
      <c r="F20" s="19" t="s">
        <v>142</v>
      </c>
      <c r="G20" s="22">
        <f>INDEX('Indicator Master'!$N$4:$N$46,MATCH($A20,'Indicator Master'!$A$4:$A$46,0))</f>
        <v>50</v>
      </c>
      <c r="H20" s="19" t="s">
        <v>347</v>
      </c>
      <c r="I20" s="19" t="s">
        <v>348</v>
      </c>
    </row>
    <row r="21" spans="1:9" ht="32.25" customHeight="1" x14ac:dyDescent="0.35">
      <c r="A21" s="16" t="s">
        <v>143</v>
      </c>
      <c r="B21" s="17" t="s">
        <v>144</v>
      </c>
      <c r="C21" s="16" t="s">
        <v>29</v>
      </c>
      <c r="D21" s="17" t="s">
        <v>146</v>
      </c>
      <c r="E21" s="17" t="s">
        <v>147</v>
      </c>
      <c r="F21" s="17" t="s">
        <v>148</v>
      </c>
      <c r="G21" s="21">
        <f>INDEX('Indicator Master'!$N$4:$N$46,MATCH($A21,'Indicator Master'!$A$4:$A$46,0))</f>
        <v>50</v>
      </c>
      <c r="H21" s="17" t="s">
        <v>347</v>
      </c>
      <c r="I21" s="17" t="s">
        <v>348</v>
      </c>
    </row>
    <row r="22" spans="1:9" ht="32.25" customHeight="1" x14ac:dyDescent="0.35">
      <c r="A22" s="18" t="s">
        <v>149</v>
      </c>
      <c r="B22" s="19" t="s">
        <v>150</v>
      </c>
      <c r="C22" s="18" t="s">
        <v>29</v>
      </c>
      <c r="D22" s="19" t="s">
        <v>153</v>
      </c>
      <c r="E22" s="19" t="s">
        <v>156</v>
      </c>
      <c r="F22" s="19" t="s">
        <v>157</v>
      </c>
      <c r="G22" s="22">
        <f>INDEX('Indicator Master'!$N$4:$N$46,MATCH($A22,'Indicator Master'!$A$4:$A$46,0))</f>
        <v>40</v>
      </c>
      <c r="H22" s="19" t="s">
        <v>347</v>
      </c>
      <c r="I22" s="19" t="s">
        <v>348</v>
      </c>
    </row>
    <row r="23" spans="1:9" ht="32.25" customHeight="1" x14ac:dyDescent="0.35">
      <c r="A23" s="16" t="s">
        <v>158</v>
      </c>
      <c r="B23" s="17" t="s">
        <v>159</v>
      </c>
      <c r="C23" s="16" t="s">
        <v>29</v>
      </c>
      <c r="D23" s="17" t="s">
        <v>162</v>
      </c>
      <c r="E23" s="17" t="s">
        <v>165</v>
      </c>
      <c r="F23" s="17" t="s">
        <v>166</v>
      </c>
      <c r="G23" s="21">
        <f>INDEX('Indicator Master'!$N$4:$N$46,MATCH($A23,'Indicator Master'!$A$4:$A$46,0))</f>
        <v>40</v>
      </c>
      <c r="H23" s="17" t="s">
        <v>347</v>
      </c>
      <c r="I23" s="17" t="s">
        <v>348</v>
      </c>
    </row>
    <row r="24" spans="1:9" ht="32.25" customHeight="1" x14ac:dyDescent="0.35">
      <c r="A24" s="18" t="s">
        <v>167</v>
      </c>
      <c r="B24" s="19" t="s">
        <v>168</v>
      </c>
      <c r="C24" s="18" t="s">
        <v>29</v>
      </c>
      <c r="D24" s="19" t="s">
        <v>170</v>
      </c>
      <c r="E24" s="19" t="s">
        <v>171</v>
      </c>
      <c r="F24" s="19" t="s">
        <v>172</v>
      </c>
      <c r="G24" s="22">
        <f>INDEX('Indicator Master'!$N$4:$N$46,MATCH($A24,'Indicator Master'!$A$4:$A$46,0))</f>
        <v>40</v>
      </c>
      <c r="H24" s="19" t="s">
        <v>347</v>
      </c>
      <c r="I24" s="19" t="s">
        <v>348</v>
      </c>
    </row>
    <row r="25" spans="1:9" ht="32.25" customHeight="1" x14ac:dyDescent="0.35">
      <c r="A25" s="16" t="s">
        <v>173</v>
      </c>
      <c r="B25" s="17" t="s">
        <v>174</v>
      </c>
      <c r="C25" s="16" t="s">
        <v>29</v>
      </c>
      <c r="D25" s="17" t="s">
        <v>177</v>
      </c>
      <c r="E25" s="17" t="s">
        <v>178</v>
      </c>
      <c r="F25" s="17" t="s">
        <v>179</v>
      </c>
      <c r="G25" s="21">
        <f>INDEX('Indicator Master'!$N$4:$N$46,MATCH($A25,'Indicator Master'!$A$4:$A$46,0))</f>
        <v>40</v>
      </c>
      <c r="H25" s="17" t="s">
        <v>347</v>
      </c>
      <c r="I25" s="17" t="s">
        <v>348</v>
      </c>
    </row>
    <row r="26" spans="1:9" ht="32.25" customHeight="1" x14ac:dyDescent="0.35">
      <c r="A26" s="18" t="s">
        <v>180</v>
      </c>
      <c r="B26" s="19" t="s">
        <v>181</v>
      </c>
      <c r="C26" s="18" t="s">
        <v>29</v>
      </c>
      <c r="D26" s="19" t="s">
        <v>183</v>
      </c>
      <c r="E26" s="19" t="s">
        <v>186</v>
      </c>
      <c r="F26" s="19" t="s">
        <v>187</v>
      </c>
      <c r="G26" s="22">
        <f>INDEX('Indicator Master'!$N$4:$N$46,MATCH($A26,'Indicator Master'!$A$4:$A$46,0))</f>
        <v>40</v>
      </c>
      <c r="H26" s="19" t="s">
        <v>347</v>
      </c>
      <c r="I26" s="19" t="s">
        <v>348</v>
      </c>
    </row>
    <row r="27" spans="1:9" ht="32.25" customHeight="1" x14ac:dyDescent="0.35">
      <c r="A27" s="16" t="s">
        <v>188</v>
      </c>
      <c r="B27" s="17" t="s">
        <v>189</v>
      </c>
      <c r="C27" s="16" t="s">
        <v>29</v>
      </c>
      <c r="D27" s="17" t="s">
        <v>191</v>
      </c>
      <c r="E27" s="17" t="s">
        <v>192</v>
      </c>
      <c r="F27" s="17" t="s">
        <v>193</v>
      </c>
      <c r="G27" s="21">
        <f>INDEX('Indicator Master'!$N$4:$N$46,MATCH($A27,'Indicator Master'!$A$4:$A$46,0))</f>
        <v>40</v>
      </c>
      <c r="H27" s="17" t="s">
        <v>347</v>
      </c>
      <c r="I27" s="17" t="s">
        <v>348</v>
      </c>
    </row>
    <row r="28" spans="1:9" ht="32.25" customHeight="1" x14ac:dyDescent="0.35">
      <c r="A28" s="18" t="s">
        <v>194</v>
      </c>
      <c r="B28" s="19" t="s">
        <v>195</v>
      </c>
      <c r="C28" s="18" t="s">
        <v>29</v>
      </c>
      <c r="D28" s="19" t="s">
        <v>197</v>
      </c>
      <c r="E28" s="19" t="s">
        <v>198</v>
      </c>
      <c r="F28" s="19" t="s">
        <v>199</v>
      </c>
      <c r="G28" s="22">
        <f>INDEX('Indicator Master'!$N$4:$N$46,MATCH($A28,'Indicator Master'!$A$4:$A$46,0))</f>
        <v>40</v>
      </c>
      <c r="H28" s="19" t="s">
        <v>347</v>
      </c>
      <c r="I28" s="19" t="s">
        <v>348</v>
      </c>
    </row>
    <row r="29" spans="1:9" ht="32.25" customHeight="1" x14ac:dyDescent="0.35">
      <c r="A29" s="16" t="s">
        <v>200</v>
      </c>
      <c r="B29" s="17" t="s">
        <v>201</v>
      </c>
      <c r="C29" s="16" t="s">
        <v>29</v>
      </c>
      <c r="D29" s="17" t="s">
        <v>204</v>
      </c>
      <c r="E29" s="17" t="s">
        <v>205</v>
      </c>
      <c r="F29" s="17" t="s">
        <v>206</v>
      </c>
      <c r="G29" s="21">
        <f>INDEX('Indicator Master'!$N$4:$N$46,MATCH($A29,'Indicator Master'!$A$4:$A$46,0))</f>
        <v>40</v>
      </c>
      <c r="H29" s="17" t="s">
        <v>347</v>
      </c>
      <c r="I29" s="17" t="s">
        <v>348</v>
      </c>
    </row>
    <row r="30" spans="1:9" ht="32.25" customHeight="1" x14ac:dyDescent="0.35">
      <c r="A30" s="18" t="s">
        <v>207</v>
      </c>
      <c r="B30" s="19" t="s">
        <v>208</v>
      </c>
      <c r="C30" s="18" t="s">
        <v>29</v>
      </c>
      <c r="D30" s="19" t="s">
        <v>211</v>
      </c>
      <c r="E30" s="19" t="s">
        <v>212</v>
      </c>
      <c r="F30" s="19" t="s">
        <v>213</v>
      </c>
      <c r="G30" s="22">
        <f>INDEX('Indicator Master'!$N$4:$N$46,MATCH($A30,'Indicator Master'!$A$4:$A$46,0))</f>
        <v>35</v>
      </c>
      <c r="H30" s="19" t="s">
        <v>347</v>
      </c>
      <c r="I30" s="19" t="s">
        <v>348</v>
      </c>
    </row>
    <row r="31" spans="1:9" ht="32.25" customHeight="1" x14ac:dyDescent="0.35">
      <c r="A31" s="16" t="s">
        <v>214</v>
      </c>
      <c r="B31" s="17" t="s">
        <v>215</v>
      </c>
      <c r="C31" s="16" t="s">
        <v>29</v>
      </c>
      <c r="D31" s="17" t="s">
        <v>217</v>
      </c>
      <c r="E31" s="17" t="s">
        <v>220</v>
      </c>
      <c r="F31" s="17" t="s">
        <v>221</v>
      </c>
      <c r="G31" s="21">
        <f>INDEX('Indicator Master'!$N$4:$N$46,MATCH($A31,'Indicator Master'!$A$4:$A$46,0))</f>
        <v>50</v>
      </c>
      <c r="H31" s="17" t="s">
        <v>347</v>
      </c>
      <c r="I31" s="17" t="s">
        <v>348</v>
      </c>
    </row>
    <row r="32" spans="1:9" ht="32.25" customHeight="1" x14ac:dyDescent="0.35">
      <c r="A32" s="18" t="s">
        <v>222</v>
      </c>
      <c r="B32" s="19" t="s">
        <v>223</v>
      </c>
      <c r="C32" s="18" t="s">
        <v>29</v>
      </c>
      <c r="D32" s="19" t="s">
        <v>226</v>
      </c>
      <c r="E32" s="19" t="s">
        <v>228</v>
      </c>
      <c r="F32" s="19" t="s">
        <v>229</v>
      </c>
      <c r="G32" s="22">
        <f>INDEX('Indicator Master'!$N$4:$N$46,MATCH($A32,'Indicator Master'!$A$4:$A$46,0))</f>
        <v>40</v>
      </c>
      <c r="H32" s="19" t="s">
        <v>347</v>
      </c>
      <c r="I32" s="19" t="s">
        <v>348</v>
      </c>
    </row>
    <row r="33" spans="1:9" ht="32.25" customHeight="1" x14ac:dyDescent="0.35">
      <c r="A33" s="16" t="s">
        <v>230</v>
      </c>
      <c r="B33" s="17" t="s">
        <v>231</v>
      </c>
      <c r="C33" s="16" t="s">
        <v>29</v>
      </c>
      <c r="D33" s="17" t="s">
        <v>234</v>
      </c>
      <c r="E33" s="17" t="s">
        <v>235</v>
      </c>
      <c r="F33" s="17" t="s">
        <v>236</v>
      </c>
      <c r="G33" s="21">
        <f>INDEX('Indicator Master'!$N$4:$N$46,MATCH($A33,'Indicator Master'!$A$4:$A$46,0))</f>
        <v>40</v>
      </c>
      <c r="H33" s="17" t="s">
        <v>347</v>
      </c>
      <c r="I33" s="17" t="s">
        <v>348</v>
      </c>
    </row>
    <row r="34" spans="1:9" ht="32.25" customHeight="1" x14ac:dyDescent="0.35">
      <c r="A34" s="18" t="s">
        <v>237</v>
      </c>
      <c r="B34" s="19" t="s">
        <v>238</v>
      </c>
      <c r="C34" s="18" t="s">
        <v>29</v>
      </c>
      <c r="D34" s="19" t="s">
        <v>241</v>
      </c>
      <c r="E34" s="19" t="s">
        <v>244</v>
      </c>
      <c r="F34" s="19" t="s">
        <v>245</v>
      </c>
      <c r="G34" s="22">
        <f>INDEX('Indicator Master'!$N$4:$N$46,MATCH($A34,'Indicator Master'!$A$4:$A$46,0))</f>
        <v>40</v>
      </c>
      <c r="H34" s="19" t="s">
        <v>347</v>
      </c>
      <c r="I34" s="19" t="s">
        <v>348</v>
      </c>
    </row>
    <row r="35" spans="1:9" ht="32.25" customHeight="1" x14ac:dyDescent="0.35">
      <c r="A35" s="16" t="s">
        <v>246</v>
      </c>
      <c r="B35" s="17" t="s">
        <v>247</v>
      </c>
      <c r="C35" s="16" t="s">
        <v>29</v>
      </c>
      <c r="D35" s="17" t="s">
        <v>250</v>
      </c>
      <c r="E35" s="17" t="s">
        <v>253</v>
      </c>
      <c r="F35" s="17" t="s">
        <v>254</v>
      </c>
      <c r="G35" s="21">
        <f>INDEX('Indicator Master'!$N$4:$N$46,MATCH($A35,'Indicator Master'!$A$4:$A$46,0))</f>
        <v>50</v>
      </c>
      <c r="H35" s="17" t="s">
        <v>347</v>
      </c>
      <c r="I35" s="17" t="s">
        <v>348</v>
      </c>
    </row>
    <row r="36" spans="1:9" ht="32.25" customHeight="1" x14ac:dyDescent="0.35">
      <c r="A36" s="18" t="s">
        <v>255</v>
      </c>
      <c r="B36" s="19" t="s">
        <v>256</v>
      </c>
      <c r="C36" s="18" t="s">
        <v>29</v>
      </c>
      <c r="D36" s="19" t="s">
        <v>258</v>
      </c>
      <c r="E36" s="19" t="s">
        <v>259</v>
      </c>
      <c r="F36" s="19" t="s">
        <v>260</v>
      </c>
      <c r="G36" s="22">
        <f>INDEX('Indicator Master'!$N$4:$N$46,MATCH($A36,'Indicator Master'!$A$4:$A$46,0))</f>
        <v>40</v>
      </c>
      <c r="H36" s="19" t="s">
        <v>347</v>
      </c>
      <c r="I36" s="19" t="s">
        <v>348</v>
      </c>
    </row>
    <row r="37" spans="1:9" ht="32.25" customHeight="1" x14ac:dyDescent="0.35">
      <c r="A37" s="16" t="s">
        <v>261</v>
      </c>
      <c r="B37" s="17" t="s">
        <v>262</v>
      </c>
      <c r="C37" s="16" t="s">
        <v>29</v>
      </c>
      <c r="D37" s="17" t="s">
        <v>265</v>
      </c>
      <c r="E37" s="17" t="s">
        <v>268</v>
      </c>
      <c r="F37" s="17" t="s">
        <v>269</v>
      </c>
      <c r="G37" s="21">
        <f>INDEX('Indicator Master'!$N$4:$N$46,MATCH($A37,'Indicator Master'!$A$4:$A$46,0))</f>
        <v>40</v>
      </c>
      <c r="H37" s="17" t="s">
        <v>347</v>
      </c>
      <c r="I37" s="17" t="s">
        <v>348</v>
      </c>
    </row>
    <row r="38" spans="1:9" ht="32.25" customHeight="1" x14ac:dyDescent="0.35">
      <c r="A38" s="18" t="s">
        <v>270</v>
      </c>
      <c r="B38" s="19" t="s">
        <v>271</v>
      </c>
      <c r="C38" s="18" t="s">
        <v>29</v>
      </c>
      <c r="D38" s="19" t="s">
        <v>273</v>
      </c>
      <c r="E38" s="19" t="s">
        <v>274</v>
      </c>
      <c r="F38" s="19" t="s">
        <v>275</v>
      </c>
      <c r="G38" s="22">
        <f>INDEX('Indicator Master'!$N$4:$N$46,MATCH($A38,'Indicator Master'!$A$4:$A$46,0))</f>
        <v>30</v>
      </c>
      <c r="H38" s="19" t="s">
        <v>347</v>
      </c>
      <c r="I38" s="19" t="s">
        <v>348</v>
      </c>
    </row>
    <row r="39" spans="1:9" ht="74.25" customHeight="1" x14ac:dyDescent="0.35">
      <c r="A39" s="16" t="s">
        <v>276</v>
      </c>
      <c r="B39" s="17" t="s">
        <v>277</v>
      </c>
      <c r="C39" s="16" t="s">
        <v>29</v>
      </c>
      <c r="D39" s="17" t="s">
        <v>279</v>
      </c>
      <c r="E39" s="17" t="s">
        <v>280</v>
      </c>
      <c r="F39" s="17" t="s">
        <v>281</v>
      </c>
      <c r="G39" s="21">
        <f>INDEX('Indicator Master'!$N$4:$N$46,MATCH($A39,'Indicator Master'!$A$4:$A$46,0))</f>
        <v>50</v>
      </c>
      <c r="H39" s="17" t="s">
        <v>347</v>
      </c>
      <c r="I39" s="17" t="s">
        <v>348</v>
      </c>
    </row>
    <row r="40" spans="1:9" ht="32.25" customHeight="1" x14ac:dyDescent="0.35">
      <c r="A40" s="18" t="s">
        <v>282</v>
      </c>
      <c r="B40" s="19" t="s">
        <v>283</v>
      </c>
      <c r="C40" s="18" t="s">
        <v>29</v>
      </c>
      <c r="D40" s="19" t="s">
        <v>286</v>
      </c>
      <c r="E40" s="19" t="s">
        <v>287</v>
      </c>
      <c r="F40" s="19" t="s">
        <v>288</v>
      </c>
      <c r="G40" s="22">
        <f>INDEX('Indicator Master'!$N$4:$N$46,MATCH($A40,'Indicator Master'!$A$4:$A$46,0))</f>
        <v>50</v>
      </c>
      <c r="H40" s="19" t="s">
        <v>347</v>
      </c>
      <c r="I40" s="19" t="s">
        <v>348</v>
      </c>
    </row>
    <row r="41" spans="1:9" ht="32.25" customHeight="1" x14ac:dyDescent="0.35">
      <c r="A41" s="16" t="s">
        <v>289</v>
      </c>
      <c r="B41" s="17" t="s">
        <v>290</v>
      </c>
      <c r="C41" s="16" t="s">
        <v>29</v>
      </c>
      <c r="D41" s="17" t="s">
        <v>293</v>
      </c>
      <c r="E41" s="17" t="s">
        <v>294</v>
      </c>
      <c r="F41" s="17" t="s">
        <v>295</v>
      </c>
      <c r="G41" s="21">
        <f>INDEX('Indicator Master'!$N$4:$N$46,MATCH($A41,'Indicator Master'!$A$4:$A$46,0))</f>
        <v>50</v>
      </c>
      <c r="H41" s="17" t="s">
        <v>347</v>
      </c>
      <c r="I41" s="17" t="s">
        <v>348</v>
      </c>
    </row>
    <row r="42" spans="1:9" ht="32.25" customHeight="1" x14ac:dyDescent="0.35">
      <c r="A42" s="18" t="s">
        <v>296</v>
      </c>
      <c r="B42" s="19" t="s">
        <v>297</v>
      </c>
      <c r="C42" s="18" t="s">
        <v>29</v>
      </c>
      <c r="D42" s="19" t="s">
        <v>299</v>
      </c>
      <c r="E42" s="19" t="s">
        <v>303</v>
      </c>
      <c r="F42" s="19" t="s">
        <v>304</v>
      </c>
      <c r="G42" s="22">
        <f>INDEX('Indicator Master'!$N$4:$N$46,MATCH($A42,'Indicator Master'!$A$4:$A$46,0))</f>
        <v>40</v>
      </c>
      <c r="H42" s="19" t="s">
        <v>347</v>
      </c>
      <c r="I42" s="19" t="s">
        <v>348</v>
      </c>
    </row>
    <row r="43" spans="1:9" ht="32.25" customHeight="1" x14ac:dyDescent="0.35">
      <c r="A43" s="16" t="s">
        <v>305</v>
      </c>
      <c r="B43" s="17" t="s">
        <v>306</v>
      </c>
      <c r="C43" s="16" t="s">
        <v>29</v>
      </c>
      <c r="D43" s="17" t="s">
        <v>308</v>
      </c>
      <c r="E43" s="17" t="s">
        <v>311</v>
      </c>
      <c r="F43" s="17" t="s">
        <v>312</v>
      </c>
      <c r="G43" s="21">
        <f>INDEX('Indicator Master'!$N$4:$N$46,MATCH($A43,'Indicator Master'!$A$4:$A$46,0))</f>
        <v>50</v>
      </c>
      <c r="H43" s="17" t="s">
        <v>347</v>
      </c>
      <c r="I43" s="17" t="s">
        <v>348</v>
      </c>
    </row>
    <row r="44" spans="1:9" ht="32.25" customHeight="1" x14ac:dyDescent="0.35">
      <c r="A44" s="18" t="s">
        <v>313</v>
      </c>
      <c r="B44" s="19" t="s">
        <v>314</v>
      </c>
      <c r="C44" s="18" t="s">
        <v>29</v>
      </c>
      <c r="D44" s="19" t="s">
        <v>316</v>
      </c>
      <c r="E44" s="19" t="s">
        <v>317</v>
      </c>
      <c r="F44" s="19" t="s">
        <v>312</v>
      </c>
      <c r="G44" s="22">
        <f>INDEX('Indicator Master'!$N$4:$N$46,MATCH($A44,'Indicator Master'!$A$4:$A$46,0))</f>
        <v>50</v>
      </c>
      <c r="H44" s="19" t="s">
        <v>347</v>
      </c>
      <c r="I44" s="19" t="s">
        <v>348</v>
      </c>
    </row>
    <row r="45" spans="1:9" ht="32.25" customHeight="1" x14ac:dyDescent="0.35">
      <c r="A45" s="16" t="s">
        <v>318</v>
      </c>
      <c r="B45" s="17" t="s">
        <v>319</v>
      </c>
      <c r="C45" s="16" t="s">
        <v>29</v>
      </c>
      <c r="D45" s="17" t="s">
        <v>322</v>
      </c>
      <c r="E45" s="17" t="s">
        <v>326</v>
      </c>
      <c r="F45" s="17" t="s">
        <v>327</v>
      </c>
      <c r="G45" s="21">
        <f>INDEX('Indicator Master'!$N$4:$N$46,MATCH($A45,'Indicator Master'!$A$4:$A$46,0))</f>
        <v>40</v>
      </c>
      <c r="H45" s="17" t="s">
        <v>347</v>
      </c>
      <c r="I45" s="17" t="s">
        <v>348</v>
      </c>
    </row>
    <row r="46" spans="1:9" ht="32.25" customHeight="1" x14ac:dyDescent="0.35">
      <c r="A46" s="18" t="s">
        <v>328</v>
      </c>
      <c r="B46" s="19" t="s">
        <v>329</v>
      </c>
      <c r="C46" s="18" t="s">
        <v>29</v>
      </c>
      <c r="D46" s="19" t="s">
        <v>331</v>
      </c>
      <c r="E46" s="19" t="s">
        <v>332</v>
      </c>
      <c r="F46" s="19" t="s">
        <v>333</v>
      </c>
      <c r="G46" s="22">
        <f>INDEX('Indicator Master'!$N$4:$N$46,MATCH($A46,'Indicator Master'!$A$4:$A$46,0))</f>
        <v>40</v>
      </c>
      <c r="H46" s="19" t="s">
        <v>347</v>
      </c>
      <c r="I46" s="19" t="s">
        <v>348</v>
      </c>
    </row>
    <row r="47" spans="1:9" ht="32.25" customHeight="1" x14ac:dyDescent="0.35">
      <c r="A47" s="16" t="s">
        <v>334</v>
      </c>
      <c r="B47" s="17" t="s">
        <v>335</v>
      </c>
      <c r="C47" s="16" t="s">
        <v>29</v>
      </c>
      <c r="D47" s="17" t="s">
        <v>337</v>
      </c>
      <c r="E47" s="17" t="s">
        <v>338</v>
      </c>
      <c r="F47" s="17" t="s">
        <v>339</v>
      </c>
      <c r="G47" s="21">
        <f>INDEX('Indicator Master'!$N$4:$N$46,MATCH($A47,'Indicator Master'!$A$4:$A$46,0))</f>
        <v>40</v>
      </c>
      <c r="H47" s="17" t="s">
        <v>347</v>
      </c>
      <c r="I47" s="17" t="s">
        <v>348</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0"/>
  <sheetViews>
    <sheetView zoomScaleNormal="100" workbookViewId="0">
      <selection activeCell="J70" sqref="J70"/>
    </sheetView>
  </sheetViews>
  <sheetFormatPr defaultColWidth="8.6328125" defaultRowHeight="14.5" x14ac:dyDescent="0.35"/>
  <cols>
    <col min="1" max="1" width="8" customWidth="1"/>
    <col min="2" max="2" width="24" customWidth="1"/>
    <col min="3" max="3" width="10" customWidth="1"/>
    <col min="4" max="4" width="22" customWidth="1"/>
    <col min="5" max="5" width="7" customWidth="1"/>
    <col min="6" max="6" width="30" customWidth="1"/>
    <col min="7" max="7" width="20" customWidth="1"/>
    <col min="8" max="9" width="11" customWidth="1"/>
    <col min="10" max="10" width="20" customWidth="1"/>
    <col min="11" max="11" width="8" customWidth="1"/>
    <col min="12" max="12" width="12" customWidth="1"/>
    <col min="13" max="13" width="9" customWidth="1"/>
    <col min="14" max="14" width="13" customWidth="1"/>
    <col min="15" max="15" width="40" customWidth="1"/>
    <col min="16" max="16" width="54" customWidth="1"/>
    <col min="17" max="17" width="20" customWidth="1"/>
    <col min="18" max="18" width="14" hidden="1" customWidth="1"/>
  </cols>
  <sheetData>
    <row r="1" spans="1:18" ht="30" customHeight="1" x14ac:dyDescent="0.35">
      <c r="A1" s="14" t="s">
        <v>349</v>
      </c>
      <c r="B1" s="14"/>
      <c r="C1" s="14"/>
      <c r="D1" s="14"/>
      <c r="E1" s="14"/>
      <c r="F1" s="14"/>
      <c r="G1" s="14"/>
      <c r="H1" s="14"/>
      <c r="I1" s="14"/>
      <c r="J1" s="14"/>
      <c r="K1" s="14"/>
      <c r="L1" s="14"/>
      <c r="M1" s="14"/>
      <c r="N1" s="14"/>
      <c r="O1" s="14"/>
      <c r="P1" s="14"/>
      <c r="Q1" s="14"/>
      <c r="R1" s="14"/>
    </row>
    <row r="2" spans="1:18" ht="25.5" customHeight="1" x14ac:dyDescent="0.35">
      <c r="A2" s="13" t="s">
        <v>350</v>
      </c>
      <c r="B2" s="13"/>
      <c r="C2" s="13"/>
      <c r="D2" s="13"/>
      <c r="E2" s="13"/>
      <c r="F2" s="13"/>
      <c r="G2" s="13"/>
      <c r="H2" s="13"/>
      <c r="I2" s="13"/>
      <c r="J2" s="13"/>
      <c r="K2" s="13"/>
      <c r="L2" s="13"/>
      <c r="M2" s="13"/>
      <c r="N2" s="13"/>
      <c r="O2" s="13"/>
      <c r="P2" s="13"/>
      <c r="Q2" s="13"/>
      <c r="R2" s="13"/>
    </row>
    <row r="4" spans="1:18" ht="37.5" customHeight="1" x14ac:dyDescent="0.35">
      <c r="A4" s="15" t="s">
        <v>14</v>
      </c>
      <c r="B4" s="15" t="s">
        <v>16</v>
      </c>
      <c r="C4" s="15" t="s">
        <v>15</v>
      </c>
      <c r="D4" s="15" t="s">
        <v>351</v>
      </c>
      <c r="E4" s="15" t="s">
        <v>352</v>
      </c>
      <c r="F4" s="15" t="s">
        <v>353</v>
      </c>
      <c r="G4" s="15" t="s">
        <v>354</v>
      </c>
      <c r="H4" s="15" t="s">
        <v>355</v>
      </c>
      <c r="I4" s="15" t="s">
        <v>356</v>
      </c>
      <c r="J4" s="15" t="s">
        <v>357</v>
      </c>
      <c r="K4" s="15" t="s">
        <v>358</v>
      </c>
      <c r="L4" s="15" t="s">
        <v>359</v>
      </c>
      <c r="M4" s="15" t="s">
        <v>360</v>
      </c>
      <c r="N4" s="15" t="s">
        <v>361</v>
      </c>
      <c r="O4" s="15" t="s">
        <v>362</v>
      </c>
      <c r="P4" s="15" t="s">
        <v>363</v>
      </c>
      <c r="Q4" s="15" t="s">
        <v>364</v>
      </c>
      <c r="R4" s="15" t="s">
        <v>365</v>
      </c>
    </row>
    <row r="5" spans="1:18" ht="21.75" customHeight="1" x14ac:dyDescent="0.35">
      <c r="A5" s="23" t="s">
        <v>28</v>
      </c>
      <c r="B5" s="19" t="s">
        <v>30</v>
      </c>
      <c r="C5" s="23" t="s">
        <v>29</v>
      </c>
      <c r="D5" s="19" t="s">
        <v>34</v>
      </c>
      <c r="E5" s="23">
        <v>1</v>
      </c>
      <c r="F5" s="19" t="s">
        <v>366</v>
      </c>
      <c r="G5" s="19" t="s">
        <v>367</v>
      </c>
      <c r="H5" s="23"/>
      <c r="I5" s="23">
        <v>85</v>
      </c>
      <c r="J5" s="23" t="s">
        <v>368</v>
      </c>
      <c r="K5" s="23">
        <v>0</v>
      </c>
      <c r="L5" s="24">
        <f>$K5/INDEX('Indicator Master'!$N$4:$N$46,MATCH($A5,'Indicator Master'!$A$4:$A$46,0))*'Risk Bands (Config)'!$B$5</f>
        <v>0</v>
      </c>
      <c r="M5" s="23">
        <f>IF($K5=INDEX('Indicator Master'!$N$4:$N$46,MATCH($A5,'Indicator Master'!$A$4:$A$46,0)),1,0)</f>
        <v>0</v>
      </c>
      <c r="N5" s="25"/>
      <c r="O5" s="19" t="s">
        <v>369</v>
      </c>
      <c r="P5" s="19" t="s">
        <v>370</v>
      </c>
      <c r="Q5" s="19" t="s">
        <v>371</v>
      </c>
      <c r="R5" s="26" t="str">
        <f t="shared" ref="R5:R36" si="0">$A5&amp;"|"&amp;$K5</f>
        <v>EWS-001|0</v>
      </c>
    </row>
    <row r="6" spans="1:18" ht="21.75" customHeight="1" x14ac:dyDescent="0.35">
      <c r="A6" s="23" t="s">
        <v>28</v>
      </c>
      <c r="B6" s="19" t="s">
        <v>30</v>
      </c>
      <c r="C6" s="23" t="s">
        <v>29</v>
      </c>
      <c r="D6" s="19" t="s">
        <v>34</v>
      </c>
      <c r="E6" s="23">
        <v>2</v>
      </c>
      <c r="F6" s="19" t="s">
        <v>372</v>
      </c>
      <c r="G6" s="19" t="s">
        <v>373</v>
      </c>
      <c r="H6" s="23">
        <v>85</v>
      </c>
      <c r="I6" s="23">
        <v>90</v>
      </c>
      <c r="J6" s="23" t="s">
        <v>374</v>
      </c>
      <c r="K6" s="23">
        <v>10</v>
      </c>
      <c r="L6" s="24">
        <f>$K6/INDEX('Indicator Master'!$N$4:$N$46,MATCH($A6,'Indicator Master'!$A$4:$A$46,0))*'Risk Bands (Config)'!$B$5</f>
        <v>33.333333333333329</v>
      </c>
      <c r="M6" s="23">
        <f>IF($K6=INDEX('Indicator Master'!$N$4:$N$46,MATCH($A6,'Indicator Master'!$A$4:$A$46,0)),1,0)</f>
        <v>0</v>
      </c>
      <c r="N6" s="25"/>
      <c r="O6" s="19" t="s">
        <v>375</v>
      </c>
      <c r="P6" s="19" t="s">
        <v>376</v>
      </c>
      <c r="Q6" s="19" t="s">
        <v>377</v>
      </c>
      <c r="R6" s="26" t="str">
        <f t="shared" si="0"/>
        <v>EWS-001|10</v>
      </c>
    </row>
    <row r="7" spans="1:18" ht="32.25" customHeight="1" x14ac:dyDescent="0.35">
      <c r="A7" s="23" t="s">
        <v>28</v>
      </c>
      <c r="B7" s="19" t="s">
        <v>30</v>
      </c>
      <c r="C7" s="23" t="s">
        <v>29</v>
      </c>
      <c r="D7" s="19" t="s">
        <v>34</v>
      </c>
      <c r="E7" s="23">
        <v>3</v>
      </c>
      <c r="F7" s="19" t="s">
        <v>378</v>
      </c>
      <c r="G7" s="19" t="s">
        <v>373</v>
      </c>
      <c r="H7" s="23">
        <v>90</v>
      </c>
      <c r="I7" s="23">
        <v>95</v>
      </c>
      <c r="J7" s="23" t="s">
        <v>374</v>
      </c>
      <c r="K7" s="23">
        <v>20</v>
      </c>
      <c r="L7" s="24">
        <f>$K7/INDEX('Indicator Master'!$N$4:$N$46,MATCH($A7,'Indicator Master'!$A$4:$A$46,0))*'Risk Bands (Config)'!$B$5</f>
        <v>66.666666666666657</v>
      </c>
      <c r="M7" s="23">
        <f>IF($K7=INDEX('Indicator Master'!$N$4:$N$46,MATCH($A7,'Indicator Master'!$A$4:$A$46,0)),1,0)</f>
        <v>0</v>
      </c>
      <c r="N7" s="25"/>
      <c r="O7" s="19" t="s">
        <v>379</v>
      </c>
      <c r="P7" s="19" t="s">
        <v>380</v>
      </c>
      <c r="Q7" s="19" t="s">
        <v>381</v>
      </c>
      <c r="R7" s="26" t="str">
        <f t="shared" si="0"/>
        <v>EWS-001|20</v>
      </c>
    </row>
    <row r="8" spans="1:18" ht="32.25" customHeight="1" x14ac:dyDescent="0.35">
      <c r="A8" s="23" t="s">
        <v>28</v>
      </c>
      <c r="B8" s="19" t="s">
        <v>30</v>
      </c>
      <c r="C8" s="23" t="s">
        <v>29</v>
      </c>
      <c r="D8" s="19" t="s">
        <v>34</v>
      </c>
      <c r="E8" s="23">
        <v>4</v>
      </c>
      <c r="F8" s="19" t="s">
        <v>382</v>
      </c>
      <c r="G8" s="19" t="s">
        <v>367</v>
      </c>
      <c r="H8" s="23">
        <v>95</v>
      </c>
      <c r="I8" s="23"/>
      <c r="J8" s="23" t="s">
        <v>383</v>
      </c>
      <c r="K8" s="23">
        <v>30</v>
      </c>
      <c r="L8" s="24">
        <f>$K8/INDEX('Indicator Master'!$N$4:$N$46,MATCH($A8,'Indicator Master'!$A$4:$A$46,0))*'Risk Bands (Config)'!$B$5</f>
        <v>100</v>
      </c>
      <c r="M8" s="23">
        <f>IF($K8=INDEX('Indicator Master'!$N$4:$N$46,MATCH($A8,'Indicator Master'!$A$4:$A$46,0)),1,0)</f>
        <v>1</v>
      </c>
      <c r="N8" s="25"/>
      <c r="O8" s="19" t="s">
        <v>384</v>
      </c>
      <c r="P8" s="19" t="s">
        <v>385</v>
      </c>
      <c r="Q8" s="19" t="s">
        <v>386</v>
      </c>
      <c r="R8" s="26" t="str">
        <f t="shared" si="0"/>
        <v>EWS-001|30</v>
      </c>
    </row>
    <row r="9" spans="1:18" ht="21.75" customHeight="1" x14ac:dyDescent="0.35">
      <c r="A9" s="23" t="s">
        <v>41</v>
      </c>
      <c r="B9" s="19" t="s">
        <v>42</v>
      </c>
      <c r="C9" s="23" t="s">
        <v>29</v>
      </c>
      <c r="D9" s="19" t="s">
        <v>44</v>
      </c>
      <c r="E9" s="23">
        <v>1</v>
      </c>
      <c r="F9" s="19" t="s">
        <v>387</v>
      </c>
      <c r="G9" s="19" t="s">
        <v>388</v>
      </c>
      <c r="H9" s="23">
        <v>0</v>
      </c>
      <c r="I9" s="23">
        <v>1</v>
      </c>
      <c r="J9" s="23" t="s">
        <v>389</v>
      </c>
      <c r="K9" s="23">
        <v>0</v>
      </c>
      <c r="L9" s="24">
        <f>$K9/INDEX('Indicator Master'!$N$4:$N$46,MATCH($A9,'Indicator Master'!$A$4:$A$46,0))*'Risk Bands (Config)'!$B$5</f>
        <v>0</v>
      </c>
      <c r="M9" s="23">
        <f>IF($K9=INDEX('Indicator Master'!$N$4:$N$46,MATCH($A9,'Indicator Master'!$A$4:$A$46,0)),1,0)</f>
        <v>0</v>
      </c>
      <c r="N9" s="25"/>
      <c r="O9" s="19" t="s">
        <v>390</v>
      </c>
      <c r="P9" s="19" t="s">
        <v>370</v>
      </c>
      <c r="Q9" s="19" t="s">
        <v>371</v>
      </c>
      <c r="R9" s="26" t="str">
        <f t="shared" si="0"/>
        <v>EWS-002|0</v>
      </c>
    </row>
    <row r="10" spans="1:18" ht="21.75" customHeight="1" x14ac:dyDescent="0.35">
      <c r="A10" s="23" t="s">
        <v>41</v>
      </c>
      <c r="B10" s="19" t="s">
        <v>42</v>
      </c>
      <c r="C10" s="23" t="s">
        <v>29</v>
      </c>
      <c r="D10" s="19" t="s">
        <v>44</v>
      </c>
      <c r="E10" s="23">
        <v>2</v>
      </c>
      <c r="F10" s="19" t="s">
        <v>391</v>
      </c>
      <c r="G10" s="19" t="s">
        <v>392</v>
      </c>
      <c r="H10" s="23">
        <v>2</v>
      </c>
      <c r="I10" s="23">
        <v>2</v>
      </c>
      <c r="J10" s="23" t="s">
        <v>393</v>
      </c>
      <c r="K10" s="23">
        <v>10</v>
      </c>
      <c r="L10" s="24">
        <f>$K10/INDEX('Indicator Master'!$N$4:$N$46,MATCH($A10,'Indicator Master'!$A$4:$A$46,0))*'Risk Bands (Config)'!$B$5</f>
        <v>33.333333333333329</v>
      </c>
      <c r="M10" s="23">
        <f>IF($K10=INDEX('Indicator Master'!$N$4:$N$46,MATCH($A10,'Indicator Master'!$A$4:$A$46,0)),1,0)</f>
        <v>0</v>
      </c>
      <c r="N10" s="25"/>
      <c r="O10" s="19" t="s">
        <v>394</v>
      </c>
      <c r="P10" s="19" t="s">
        <v>395</v>
      </c>
      <c r="Q10" s="19" t="s">
        <v>377</v>
      </c>
      <c r="R10" s="26" t="str">
        <f t="shared" si="0"/>
        <v>EWS-002|10</v>
      </c>
    </row>
    <row r="11" spans="1:18" ht="21.75" customHeight="1" x14ac:dyDescent="0.35">
      <c r="A11" s="23" t="s">
        <v>41</v>
      </c>
      <c r="B11" s="19" t="s">
        <v>42</v>
      </c>
      <c r="C11" s="23" t="s">
        <v>29</v>
      </c>
      <c r="D11" s="19" t="s">
        <v>44</v>
      </c>
      <c r="E11" s="23">
        <v>3</v>
      </c>
      <c r="F11" s="19" t="s">
        <v>396</v>
      </c>
      <c r="G11" s="19" t="s">
        <v>397</v>
      </c>
      <c r="H11" s="23">
        <v>3</v>
      </c>
      <c r="I11" s="23"/>
      <c r="J11" s="23" t="s">
        <v>398</v>
      </c>
      <c r="K11" s="23">
        <v>20</v>
      </c>
      <c r="L11" s="24">
        <f>$K11/INDEX('Indicator Master'!$N$4:$N$46,MATCH($A11,'Indicator Master'!$A$4:$A$46,0))*'Risk Bands (Config)'!$B$5</f>
        <v>66.666666666666657</v>
      </c>
      <c r="M11" s="23">
        <f>IF($K11=INDEX('Indicator Master'!$N$4:$N$46,MATCH($A11,'Indicator Master'!$A$4:$A$46,0)),1,0)</f>
        <v>0</v>
      </c>
      <c r="N11" s="25"/>
      <c r="O11" s="19" t="s">
        <v>399</v>
      </c>
      <c r="P11" s="19" t="s">
        <v>400</v>
      </c>
      <c r="Q11" s="19" t="s">
        <v>381</v>
      </c>
      <c r="R11" s="26" t="str">
        <f t="shared" si="0"/>
        <v>EWS-002|20</v>
      </c>
    </row>
    <row r="12" spans="1:18" ht="21.75" customHeight="1" x14ac:dyDescent="0.35">
      <c r="A12" s="23" t="s">
        <v>41</v>
      </c>
      <c r="B12" s="19" t="s">
        <v>42</v>
      </c>
      <c r="C12" s="23" t="s">
        <v>29</v>
      </c>
      <c r="D12" s="19" t="s">
        <v>44</v>
      </c>
      <c r="E12" s="23">
        <v>4</v>
      </c>
      <c r="F12" s="19" t="s">
        <v>401</v>
      </c>
      <c r="G12" s="19" t="s">
        <v>402</v>
      </c>
      <c r="H12" s="23"/>
      <c r="I12" s="23"/>
      <c r="J12" s="23" t="s">
        <v>403</v>
      </c>
      <c r="K12" s="23">
        <v>30</v>
      </c>
      <c r="L12" s="24">
        <f>$K12/INDEX('Indicator Master'!$N$4:$N$46,MATCH($A12,'Indicator Master'!$A$4:$A$46,0))*'Risk Bands (Config)'!$B$5</f>
        <v>100</v>
      </c>
      <c r="M12" s="23">
        <f>IF($K12=INDEX('Indicator Master'!$N$4:$N$46,MATCH($A12,'Indicator Master'!$A$4:$A$46,0)),1,0)</f>
        <v>1</v>
      </c>
      <c r="N12" s="25"/>
      <c r="O12" s="19" t="s">
        <v>404</v>
      </c>
      <c r="P12" s="19" t="s">
        <v>405</v>
      </c>
      <c r="Q12" s="19" t="s">
        <v>386</v>
      </c>
      <c r="R12" s="26" t="str">
        <f t="shared" si="0"/>
        <v>EWS-002|30</v>
      </c>
    </row>
    <row r="13" spans="1:18" ht="21.75" customHeight="1" x14ac:dyDescent="0.35">
      <c r="A13" s="25" t="s">
        <v>49</v>
      </c>
      <c r="B13" s="19" t="s">
        <v>50</v>
      </c>
      <c r="C13" s="23" t="s">
        <v>29</v>
      </c>
      <c r="D13" s="19" t="s">
        <v>53</v>
      </c>
      <c r="E13" s="23">
        <v>1</v>
      </c>
      <c r="F13" s="19" t="s">
        <v>406</v>
      </c>
      <c r="G13" s="19" t="s">
        <v>367</v>
      </c>
      <c r="H13" s="23"/>
      <c r="I13" s="23">
        <v>5</v>
      </c>
      <c r="J13" s="23" t="s">
        <v>368</v>
      </c>
      <c r="K13" s="23">
        <v>0</v>
      </c>
      <c r="L13" s="24">
        <f>$K13/INDEX('Indicator Master'!$N$4:$N$46,MATCH($A13,'Indicator Master'!$A$4:$A$46,0))*'Risk Bands (Config)'!$B$5</f>
        <v>0</v>
      </c>
      <c r="M13" s="23">
        <f>IF($K13=INDEX('Indicator Master'!$N$4:$N$46,MATCH($A13,'Indicator Master'!$A$4:$A$46,0)),1,0)</f>
        <v>0</v>
      </c>
      <c r="N13" s="25"/>
      <c r="O13" s="19" t="s">
        <v>407</v>
      </c>
      <c r="P13" s="19" t="s">
        <v>370</v>
      </c>
      <c r="Q13" s="19" t="s">
        <v>371</v>
      </c>
      <c r="R13" s="26" t="str">
        <f t="shared" si="0"/>
        <v>EWS-003|0</v>
      </c>
    </row>
    <row r="14" spans="1:18" ht="21.75" customHeight="1" x14ac:dyDescent="0.35">
      <c r="A14" s="25" t="s">
        <v>49</v>
      </c>
      <c r="B14" s="19" t="s">
        <v>50</v>
      </c>
      <c r="C14" s="23" t="s">
        <v>29</v>
      </c>
      <c r="D14" s="19" t="s">
        <v>53</v>
      </c>
      <c r="E14" s="23">
        <v>2</v>
      </c>
      <c r="F14" s="19" t="s">
        <v>408</v>
      </c>
      <c r="G14" s="19" t="s">
        <v>373</v>
      </c>
      <c r="H14" s="23">
        <v>5</v>
      </c>
      <c r="I14" s="23">
        <v>10</v>
      </c>
      <c r="J14" s="23" t="s">
        <v>374</v>
      </c>
      <c r="K14" s="23">
        <v>10</v>
      </c>
      <c r="L14" s="24">
        <f>$K14/INDEX('Indicator Master'!$N$4:$N$46,MATCH($A14,'Indicator Master'!$A$4:$A$46,0))*'Risk Bands (Config)'!$B$5</f>
        <v>28.571428571428569</v>
      </c>
      <c r="M14" s="23">
        <f>IF($K14=INDEX('Indicator Master'!$N$4:$N$46,MATCH($A14,'Indicator Master'!$A$4:$A$46,0)),1,0)</f>
        <v>0</v>
      </c>
      <c r="N14" s="25"/>
      <c r="O14" s="19" t="s">
        <v>409</v>
      </c>
      <c r="P14" s="19" t="s">
        <v>410</v>
      </c>
      <c r="Q14" s="19" t="s">
        <v>411</v>
      </c>
      <c r="R14" s="26" t="str">
        <f t="shared" si="0"/>
        <v>EWS-003|10</v>
      </c>
    </row>
    <row r="15" spans="1:18" ht="32.25" customHeight="1" x14ac:dyDescent="0.35">
      <c r="A15" s="25" t="s">
        <v>49</v>
      </c>
      <c r="B15" s="19" t="s">
        <v>50</v>
      </c>
      <c r="C15" s="23" t="s">
        <v>29</v>
      </c>
      <c r="D15" s="19" t="s">
        <v>53</v>
      </c>
      <c r="E15" s="23">
        <v>3</v>
      </c>
      <c r="F15" s="19" t="s">
        <v>412</v>
      </c>
      <c r="G15" s="19" t="s">
        <v>373</v>
      </c>
      <c r="H15" s="23">
        <v>10</v>
      </c>
      <c r="I15" s="23">
        <v>15</v>
      </c>
      <c r="J15" s="23" t="s">
        <v>374</v>
      </c>
      <c r="K15" s="23">
        <v>20</v>
      </c>
      <c r="L15" s="24">
        <f>$K15/INDEX('Indicator Master'!$N$4:$N$46,MATCH($A15,'Indicator Master'!$A$4:$A$46,0))*'Risk Bands (Config)'!$B$5</f>
        <v>57.142857142857139</v>
      </c>
      <c r="M15" s="23">
        <f>IF($K15=INDEX('Indicator Master'!$N$4:$N$46,MATCH($A15,'Indicator Master'!$A$4:$A$46,0)),1,0)</f>
        <v>0</v>
      </c>
      <c r="N15" s="25"/>
      <c r="O15" s="19" t="s">
        <v>413</v>
      </c>
      <c r="P15" s="19" t="s">
        <v>414</v>
      </c>
      <c r="Q15" s="19" t="s">
        <v>377</v>
      </c>
      <c r="R15" s="26" t="str">
        <f t="shared" si="0"/>
        <v>EWS-003|20</v>
      </c>
    </row>
    <row r="16" spans="1:18" ht="32.25" customHeight="1" x14ac:dyDescent="0.35">
      <c r="A16" s="25" t="s">
        <v>49</v>
      </c>
      <c r="B16" s="19" t="s">
        <v>50</v>
      </c>
      <c r="C16" s="23" t="s">
        <v>29</v>
      </c>
      <c r="D16" s="19" t="s">
        <v>53</v>
      </c>
      <c r="E16" s="23">
        <v>4</v>
      </c>
      <c r="F16" s="19" t="s">
        <v>415</v>
      </c>
      <c r="G16" s="19" t="s">
        <v>367</v>
      </c>
      <c r="H16" s="23">
        <v>15</v>
      </c>
      <c r="I16" s="23"/>
      <c r="J16" s="23" t="s">
        <v>416</v>
      </c>
      <c r="K16" s="23">
        <v>35</v>
      </c>
      <c r="L16" s="24">
        <f>$K16/INDEX('Indicator Master'!$N$4:$N$46,MATCH($A16,'Indicator Master'!$A$4:$A$46,0))*'Risk Bands (Config)'!$B$5</f>
        <v>100</v>
      </c>
      <c r="M16" s="23">
        <f>IF($K16=INDEX('Indicator Master'!$N$4:$N$46,MATCH($A16,'Indicator Master'!$A$4:$A$46,0)),1,0)</f>
        <v>1</v>
      </c>
      <c r="N16" s="25" t="s">
        <v>417</v>
      </c>
      <c r="O16" s="19" t="s">
        <v>418</v>
      </c>
      <c r="P16" s="19" t="s">
        <v>419</v>
      </c>
      <c r="Q16" s="19" t="s">
        <v>420</v>
      </c>
      <c r="R16" s="26" t="str">
        <f t="shared" si="0"/>
        <v>EWS-003|35</v>
      </c>
    </row>
    <row r="17" spans="1:18" ht="32.25" customHeight="1" x14ac:dyDescent="0.35">
      <c r="A17" s="23" t="s">
        <v>57</v>
      </c>
      <c r="B17" s="19" t="s">
        <v>58</v>
      </c>
      <c r="C17" s="23" t="s">
        <v>29</v>
      </c>
      <c r="D17" s="19" t="s">
        <v>60</v>
      </c>
      <c r="E17" s="23">
        <v>1</v>
      </c>
      <c r="F17" s="19" t="s">
        <v>421</v>
      </c>
      <c r="G17" s="19" t="s">
        <v>392</v>
      </c>
      <c r="H17" s="23">
        <v>0</v>
      </c>
      <c r="I17" s="23">
        <v>0</v>
      </c>
      <c r="J17" s="23" t="s">
        <v>393</v>
      </c>
      <c r="K17" s="23">
        <v>0</v>
      </c>
      <c r="L17" s="24">
        <f>$K17/INDEX('Indicator Master'!$N$4:$N$46,MATCH($A17,'Indicator Master'!$A$4:$A$46,0))*'Risk Bands (Config)'!$B$5</f>
        <v>0</v>
      </c>
      <c r="M17" s="23">
        <f>IF($K17=INDEX('Indicator Master'!$N$4:$N$46,MATCH($A17,'Indicator Master'!$A$4:$A$46,0)),1,0)</f>
        <v>0</v>
      </c>
      <c r="N17" s="25"/>
      <c r="O17" s="19" t="s">
        <v>422</v>
      </c>
      <c r="P17" s="19" t="s">
        <v>370</v>
      </c>
      <c r="Q17" s="19" t="s">
        <v>371</v>
      </c>
      <c r="R17" s="26" t="str">
        <f t="shared" si="0"/>
        <v>EWS-004|0</v>
      </c>
    </row>
    <row r="18" spans="1:18" ht="32.25" customHeight="1" x14ac:dyDescent="0.35">
      <c r="A18" s="23" t="s">
        <v>57</v>
      </c>
      <c r="B18" s="19" t="s">
        <v>58</v>
      </c>
      <c r="C18" s="23" t="s">
        <v>29</v>
      </c>
      <c r="D18" s="19" t="s">
        <v>60</v>
      </c>
      <c r="E18" s="23">
        <v>2</v>
      </c>
      <c r="F18" s="19" t="s">
        <v>423</v>
      </c>
      <c r="G18" s="19" t="s">
        <v>392</v>
      </c>
      <c r="H18" s="23">
        <v>1</v>
      </c>
      <c r="I18" s="23">
        <v>1</v>
      </c>
      <c r="J18" s="23" t="s">
        <v>393</v>
      </c>
      <c r="K18" s="23">
        <v>5</v>
      </c>
      <c r="L18" s="24">
        <f>$K18/INDEX('Indicator Master'!$N$4:$N$46,MATCH($A18,'Indicator Master'!$A$4:$A$46,0))*'Risk Bands (Config)'!$B$5</f>
        <v>20</v>
      </c>
      <c r="M18" s="23">
        <f>IF($K18=INDEX('Indicator Master'!$N$4:$N$46,MATCH($A18,'Indicator Master'!$A$4:$A$46,0)),1,0)</f>
        <v>0</v>
      </c>
      <c r="N18" s="25"/>
      <c r="O18" s="19" t="s">
        <v>424</v>
      </c>
      <c r="P18" s="19" t="s">
        <v>425</v>
      </c>
      <c r="Q18" s="19" t="s">
        <v>411</v>
      </c>
      <c r="R18" s="26" t="str">
        <f t="shared" si="0"/>
        <v>EWS-004|5</v>
      </c>
    </row>
    <row r="19" spans="1:18" ht="32.25" customHeight="1" x14ac:dyDescent="0.35">
      <c r="A19" s="23" t="s">
        <v>57</v>
      </c>
      <c r="B19" s="19" t="s">
        <v>58</v>
      </c>
      <c r="C19" s="23" t="s">
        <v>29</v>
      </c>
      <c r="D19" s="19" t="s">
        <v>60</v>
      </c>
      <c r="E19" s="23">
        <v>3</v>
      </c>
      <c r="F19" s="19" t="s">
        <v>391</v>
      </c>
      <c r="G19" s="19" t="s">
        <v>392</v>
      </c>
      <c r="H19" s="23">
        <v>2</v>
      </c>
      <c r="I19" s="23">
        <v>2</v>
      </c>
      <c r="J19" s="23" t="s">
        <v>393</v>
      </c>
      <c r="K19" s="23">
        <v>15</v>
      </c>
      <c r="L19" s="24">
        <f>$K19/INDEX('Indicator Master'!$N$4:$N$46,MATCH($A19,'Indicator Master'!$A$4:$A$46,0))*'Risk Bands (Config)'!$B$5</f>
        <v>60</v>
      </c>
      <c r="M19" s="23">
        <f>IF($K19=INDEX('Indicator Master'!$N$4:$N$46,MATCH($A19,'Indicator Master'!$A$4:$A$46,0)),1,0)</f>
        <v>0</v>
      </c>
      <c r="N19" s="25"/>
      <c r="O19" s="19" t="s">
        <v>426</v>
      </c>
      <c r="P19" s="19" t="s">
        <v>427</v>
      </c>
      <c r="Q19" s="19" t="s">
        <v>377</v>
      </c>
      <c r="R19" s="26" t="str">
        <f t="shared" si="0"/>
        <v>EWS-004|15</v>
      </c>
    </row>
    <row r="20" spans="1:18" ht="32.25" customHeight="1" x14ac:dyDescent="0.35">
      <c r="A20" s="23" t="s">
        <v>57</v>
      </c>
      <c r="B20" s="19" t="s">
        <v>58</v>
      </c>
      <c r="C20" s="23" t="s">
        <v>29</v>
      </c>
      <c r="D20" s="19" t="s">
        <v>60</v>
      </c>
      <c r="E20" s="23">
        <v>4</v>
      </c>
      <c r="F20" s="19" t="s">
        <v>428</v>
      </c>
      <c r="G20" s="19" t="s">
        <v>397</v>
      </c>
      <c r="H20" s="23">
        <v>3</v>
      </c>
      <c r="I20" s="23"/>
      <c r="J20" s="23" t="s">
        <v>398</v>
      </c>
      <c r="K20" s="23">
        <v>25</v>
      </c>
      <c r="L20" s="24">
        <f>$K20/INDEX('Indicator Master'!$N$4:$N$46,MATCH($A20,'Indicator Master'!$A$4:$A$46,0))*'Risk Bands (Config)'!$B$5</f>
        <v>100</v>
      </c>
      <c r="M20" s="23">
        <f>IF($K20=INDEX('Indicator Master'!$N$4:$N$46,MATCH($A20,'Indicator Master'!$A$4:$A$46,0)),1,0)</f>
        <v>1</v>
      </c>
      <c r="N20" s="25"/>
      <c r="O20" s="19" t="s">
        <v>429</v>
      </c>
      <c r="P20" s="19" t="s">
        <v>430</v>
      </c>
      <c r="Q20" s="19" t="s">
        <v>386</v>
      </c>
      <c r="R20" s="26" t="str">
        <f t="shared" si="0"/>
        <v>EWS-004|25</v>
      </c>
    </row>
    <row r="21" spans="1:18" ht="21.75" customHeight="1" x14ac:dyDescent="0.35">
      <c r="A21" s="23" t="s">
        <v>63</v>
      </c>
      <c r="B21" s="19" t="s">
        <v>64</v>
      </c>
      <c r="C21" s="23" t="s">
        <v>29</v>
      </c>
      <c r="D21" s="19" t="s">
        <v>66</v>
      </c>
      <c r="E21" s="23">
        <v>1</v>
      </c>
      <c r="F21" s="19" t="s">
        <v>431</v>
      </c>
      <c r="G21" s="19" t="s">
        <v>432</v>
      </c>
      <c r="H21" s="23"/>
      <c r="I21" s="23"/>
      <c r="J21" s="23" t="s">
        <v>403</v>
      </c>
      <c r="K21" s="23">
        <v>0</v>
      </c>
      <c r="L21" s="24">
        <f>$K21/INDEX('Indicator Master'!$N$4:$N$46,MATCH($A21,'Indicator Master'!$A$4:$A$46,0))*'Risk Bands (Config)'!$B$5</f>
        <v>0</v>
      </c>
      <c r="M21" s="23">
        <f>IF($K21=INDEX('Indicator Master'!$N$4:$N$46,MATCH($A21,'Indicator Master'!$A$4:$A$46,0)),1,0)</f>
        <v>0</v>
      </c>
      <c r="N21" s="25"/>
      <c r="O21" s="19" t="s">
        <v>433</v>
      </c>
      <c r="P21" s="19" t="s">
        <v>370</v>
      </c>
      <c r="Q21" s="19" t="s">
        <v>371</v>
      </c>
      <c r="R21" s="26" t="str">
        <f t="shared" si="0"/>
        <v>EWS-005|0</v>
      </c>
    </row>
    <row r="22" spans="1:18" ht="21.75" customHeight="1" x14ac:dyDescent="0.35">
      <c r="A22" s="23" t="s">
        <v>63</v>
      </c>
      <c r="B22" s="19" t="s">
        <v>64</v>
      </c>
      <c r="C22" s="23" t="s">
        <v>29</v>
      </c>
      <c r="D22" s="19" t="s">
        <v>66</v>
      </c>
      <c r="E22" s="23">
        <v>2</v>
      </c>
      <c r="F22" s="19" t="s">
        <v>434</v>
      </c>
      <c r="G22" s="19" t="s">
        <v>432</v>
      </c>
      <c r="H22" s="23"/>
      <c r="I22" s="23"/>
      <c r="J22" s="23" t="s">
        <v>403</v>
      </c>
      <c r="K22" s="23">
        <v>15</v>
      </c>
      <c r="L22" s="24">
        <f>$K22/INDEX('Indicator Master'!$N$4:$N$46,MATCH($A22,'Indicator Master'!$A$4:$A$46,0))*'Risk Bands (Config)'!$B$5</f>
        <v>37.5</v>
      </c>
      <c r="M22" s="23">
        <f>IF($K22=INDEX('Indicator Master'!$N$4:$N$46,MATCH($A22,'Indicator Master'!$A$4:$A$46,0)),1,0)</f>
        <v>0</v>
      </c>
      <c r="N22" s="25"/>
      <c r="O22" s="19" t="s">
        <v>435</v>
      </c>
      <c r="P22" s="19" t="s">
        <v>436</v>
      </c>
      <c r="Q22" s="19" t="s">
        <v>377</v>
      </c>
      <c r="R22" s="26" t="str">
        <f t="shared" si="0"/>
        <v>EWS-005|15</v>
      </c>
    </row>
    <row r="23" spans="1:18" ht="21.75" customHeight="1" x14ac:dyDescent="0.35">
      <c r="A23" s="23" t="s">
        <v>63</v>
      </c>
      <c r="B23" s="19" t="s">
        <v>64</v>
      </c>
      <c r="C23" s="23" t="s">
        <v>29</v>
      </c>
      <c r="D23" s="19" t="s">
        <v>66</v>
      </c>
      <c r="E23" s="23">
        <v>3</v>
      </c>
      <c r="F23" s="19" t="s">
        <v>437</v>
      </c>
      <c r="G23" s="19" t="s">
        <v>432</v>
      </c>
      <c r="H23" s="23"/>
      <c r="I23" s="23"/>
      <c r="J23" s="23" t="s">
        <v>403</v>
      </c>
      <c r="K23" s="23">
        <v>30</v>
      </c>
      <c r="L23" s="24">
        <f>$K23/INDEX('Indicator Master'!$N$4:$N$46,MATCH($A23,'Indicator Master'!$A$4:$A$46,0))*'Risk Bands (Config)'!$B$5</f>
        <v>75</v>
      </c>
      <c r="M23" s="23">
        <f>IF($K23=INDEX('Indicator Master'!$N$4:$N$46,MATCH($A23,'Indicator Master'!$A$4:$A$46,0)),1,0)</f>
        <v>0</v>
      </c>
      <c r="N23" s="25"/>
      <c r="O23" s="19" t="s">
        <v>438</v>
      </c>
      <c r="P23" s="19" t="s">
        <v>439</v>
      </c>
      <c r="Q23" s="19" t="s">
        <v>440</v>
      </c>
      <c r="R23" s="26" t="str">
        <f t="shared" si="0"/>
        <v>EWS-005|30</v>
      </c>
    </row>
    <row r="24" spans="1:18" ht="21.75" customHeight="1" x14ac:dyDescent="0.35">
      <c r="A24" s="23" t="s">
        <v>63</v>
      </c>
      <c r="B24" s="19" t="s">
        <v>64</v>
      </c>
      <c r="C24" s="23" t="s">
        <v>29</v>
      </c>
      <c r="D24" s="19" t="s">
        <v>66</v>
      </c>
      <c r="E24" s="23">
        <v>4</v>
      </c>
      <c r="F24" s="19" t="s">
        <v>441</v>
      </c>
      <c r="G24" s="19" t="s">
        <v>432</v>
      </c>
      <c r="H24" s="23"/>
      <c r="I24" s="23"/>
      <c r="J24" s="23" t="s">
        <v>403</v>
      </c>
      <c r="K24" s="23">
        <v>40</v>
      </c>
      <c r="L24" s="24">
        <f>$K24/INDEX('Indicator Master'!$N$4:$N$46,MATCH($A24,'Indicator Master'!$A$4:$A$46,0))*'Risk Bands (Config)'!$B$5</f>
        <v>100</v>
      </c>
      <c r="M24" s="23">
        <f>IF($K24=INDEX('Indicator Master'!$N$4:$N$46,MATCH($A24,'Indicator Master'!$A$4:$A$46,0)),1,0)</f>
        <v>1</v>
      </c>
      <c r="N24" s="25"/>
      <c r="O24" s="19" t="s">
        <v>442</v>
      </c>
      <c r="P24" s="19" t="s">
        <v>443</v>
      </c>
      <c r="Q24" s="19" t="s">
        <v>420</v>
      </c>
      <c r="R24" s="26" t="str">
        <f t="shared" si="0"/>
        <v>EWS-005|40</v>
      </c>
    </row>
    <row r="25" spans="1:18" ht="21.75" customHeight="1" x14ac:dyDescent="0.35">
      <c r="A25" s="23" t="s">
        <v>70</v>
      </c>
      <c r="B25" s="19" t="s">
        <v>71</v>
      </c>
      <c r="C25" s="23" t="s">
        <v>29</v>
      </c>
      <c r="D25" s="19" t="s">
        <v>74</v>
      </c>
      <c r="E25" s="23">
        <v>1</v>
      </c>
      <c r="F25" s="19" t="s">
        <v>444</v>
      </c>
      <c r="G25" s="19" t="s">
        <v>367</v>
      </c>
      <c r="H25" s="23"/>
      <c r="I25" s="23">
        <v>0</v>
      </c>
      <c r="J25" s="23" t="s">
        <v>445</v>
      </c>
      <c r="K25" s="23">
        <v>0</v>
      </c>
      <c r="L25" s="24">
        <f>$K25/INDEX('Indicator Master'!$N$4:$N$46,MATCH($A25,'Indicator Master'!$A$4:$A$46,0))*'Risk Bands (Config)'!$B$5</f>
        <v>0</v>
      </c>
      <c r="M25" s="23">
        <f>IF($K25=INDEX('Indicator Master'!$N$4:$N$46,MATCH($A25,'Indicator Master'!$A$4:$A$46,0)),1,0)</f>
        <v>0</v>
      </c>
      <c r="N25" s="25"/>
      <c r="O25" s="19" t="s">
        <v>446</v>
      </c>
      <c r="P25" s="19" t="s">
        <v>370</v>
      </c>
      <c r="Q25" s="19" t="s">
        <v>371</v>
      </c>
      <c r="R25" s="26" t="str">
        <f t="shared" si="0"/>
        <v>EWS-006|0</v>
      </c>
    </row>
    <row r="26" spans="1:18" ht="21.75" customHeight="1" x14ac:dyDescent="0.35">
      <c r="A26" s="23" t="s">
        <v>70</v>
      </c>
      <c r="B26" s="19" t="s">
        <v>71</v>
      </c>
      <c r="C26" s="23" t="s">
        <v>29</v>
      </c>
      <c r="D26" s="19" t="s">
        <v>74</v>
      </c>
      <c r="E26" s="23">
        <v>2</v>
      </c>
      <c r="F26" s="19" t="s">
        <v>447</v>
      </c>
      <c r="G26" s="19" t="s">
        <v>373</v>
      </c>
      <c r="H26" s="23">
        <v>0</v>
      </c>
      <c r="I26" s="23">
        <v>10</v>
      </c>
      <c r="J26" s="23" t="s">
        <v>448</v>
      </c>
      <c r="K26" s="23">
        <v>10</v>
      </c>
      <c r="L26" s="24">
        <f>$K26/INDEX('Indicator Master'!$N$4:$N$46,MATCH($A26,'Indicator Master'!$A$4:$A$46,0))*'Risk Bands (Config)'!$B$5</f>
        <v>33.333333333333329</v>
      </c>
      <c r="M26" s="23">
        <f>IF($K26=INDEX('Indicator Master'!$N$4:$N$46,MATCH($A26,'Indicator Master'!$A$4:$A$46,0)),1,0)</f>
        <v>0</v>
      </c>
      <c r="N26" s="25"/>
      <c r="O26" s="19" t="s">
        <v>449</v>
      </c>
      <c r="P26" s="19" t="s">
        <v>450</v>
      </c>
      <c r="Q26" s="19" t="s">
        <v>377</v>
      </c>
      <c r="R26" s="26" t="str">
        <f t="shared" si="0"/>
        <v>EWS-006|10</v>
      </c>
    </row>
    <row r="27" spans="1:18" ht="21.75" customHeight="1" x14ac:dyDescent="0.35">
      <c r="A27" s="23" t="s">
        <v>70</v>
      </c>
      <c r="B27" s="19" t="s">
        <v>71</v>
      </c>
      <c r="C27" s="23" t="s">
        <v>29</v>
      </c>
      <c r="D27" s="19" t="s">
        <v>74</v>
      </c>
      <c r="E27" s="23">
        <v>3</v>
      </c>
      <c r="F27" s="19" t="s">
        <v>451</v>
      </c>
      <c r="G27" s="19" t="s">
        <v>373</v>
      </c>
      <c r="H27" s="23">
        <v>10</v>
      </c>
      <c r="I27" s="23">
        <v>20</v>
      </c>
      <c r="J27" s="23" t="s">
        <v>448</v>
      </c>
      <c r="K27" s="23">
        <v>20</v>
      </c>
      <c r="L27" s="24">
        <f>$K27/INDEX('Indicator Master'!$N$4:$N$46,MATCH($A27,'Indicator Master'!$A$4:$A$46,0))*'Risk Bands (Config)'!$B$5</f>
        <v>66.666666666666657</v>
      </c>
      <c r="M27" s="23">
        <f>IF($K27=INDEX('Indicator Master'!$N$4:$N$46,MATCH($A27,'Indicator Master'!$A$4:$A$46,0)),1,0)</f>
        <v>0</v>
      </c>
      <c r="N27" s="25"/>
      <c r="O27" s="19" t="s">
        <v>452</v>
      </c>
      <c r="P27" s="19" t="s">
        <v>453</v>
      </c>
      <c r="Q27" s="19" t="s">
        <v>381</v>
      </c>
      <c r="R27" s="26" t="str">
        <f t="shared" si="0"/>
        <v>EWS-006|20</v>
      </c>
    </row>
    <row r="28" spans="1:18" ht="21.75" customHeight="1" x14ac:dyDescent="0.35">
      <c r="A28" s="23" t="s">
        <v>70</v>
      </c>
      <c r="B28" s="19" t="s">
        <v>71</v>
      </c>
      <c r="C28" s="23" t="s">
        <v>29</v>
      </c>
      <c r="D28" s="19" t="s">
        <v>74</v>
      </c>
      <c r="E28" s="23">
        <v>4</v>
      </c>
      <c r="F28" s="19" t="s">
        <v>454</v>
      </c>
      <c r="G28" s="19" t="s">
        <v>367</v>
      </c>
      <c r="H28" s="23">
        <v>20</v>
      </c>
      <c r="I28" s="23"/>
      <c r="J28" s="23" t="s">
        <v>416</v>
      </c>
      <c r="K28" s="23">
        <v>30</v>
      </c>
      <c r="L28" s="24">
        <f>$K28/INDEX('Indicator Master'!$N$4:$N$46,MATCH($A28,'Indicator Master'!$A$4:$A$46,0))*'Risk Bands (Config)'!$B$5</f>
        <v>100</v>
      </c>
      <c r="M28" s="23">
        <f>IF($K28=INDEX('Indicator Master'!$N$4:$N$46,MATCH($A28,'Indicator Master'!$A$4:$A$46,0)),1,0)</f>
        <v>1</v>
      </c>
      <c r="N28" s="25"/>
      <c r="O28" s="19" t="s">
        <v>455</v>
      </c>
      <c r="P28" s="19" t="s">
        <v>456</v>
      </c>
      <c r="Q28" s="19" t="s">
        <v>386</v>
      </c>
      <c r="R28" s="26" t="str">
        <f t="shared" si="0"/>
        <v>EWS-006|30</v>
      </c>
    </row>
    <row r="29" spans="1:18" ht="21.75" customHeight="1" x14ac:dyDescent="0.35">
      <c r="A29" s="25" t="s">
        <v>80</v>
      </c>
      <c r="B29" s="19" t="s">
        <v>81</v>
      </c>
      <c r="C29" s="23" t="s">
        <v>29</v>
      </c>
      <c r="D29" s="19" t="s">
        <v>84</v>
      </c>
      <c r="E29" s="23">
        <v>1</v>
      </c>
      <c r="F29" s="19" t="s">
        <v>406</v>
      </c>
      <c r="G29" s="19" t="s">
        <v>367</v>
      </c>
      <c r="H29" s="23"/>
      <c r="I29" s="23">
        <v>5</v>
      </c>
      <c r="J29" s="23" t="s">
        <v>368</v>
      </c>
      <c r="K29" s="23">
        <v>0</v>
      </c>
      <c r="L29" s="24">
        <f>$K29/INDEX('Indicator Master'!$N$4:$N$46,MATCH($A29,'Indicator Master'!$A$4:$A$46,0))*'Risk Bands (Config)'!$B$5</f>
        <v>0</v>
      </c>
      <c r="M29" s="23">
        <f>IF($K29=INDEX('Indicator Master'!$N$4:$N$46,MATCH($A29,'Indicator Master'!$A$4:$A$46,0)),1,0)</f>
        <v>0</v>
      </c>
      <c r="N29" s="25"/>
      <c r="O29" s="19" t="s">
        <v>457</v>
      </c>
      <c r="P29" s="19" t="s">
        <v>370</v>
      </c>
      <c r="Q29" s="19" t="s">
        <v>371</v>
      </c>
      <c r="R29" s="26" t="str">
        <f t="shared" si="0"/>
        <v>EWS-007|0</v>
      </c>
    </row>
    <row r="30" spans="1:18" ht="21.75" customHeight="1" x14ac:dyDescent="0.35">
      <c r="A30" s="25" t="s">
        <v>80</v>
      </c>
      <c r="B30" s="19" t="s">
        <v>81</v>
      </c>
      <c r="C30" s="23" t="s">
        <v>29</v>
      </c>
      <c r="D30" s="19" t="s">
        <v>84</v>
      </c>
      <c r="E30" s="23">
        <v>2</v>
      </c>
      <c r="F30" s="19" t="s">
        <v>408</v>
      </c>
      <c r="G30" s="19" t="s">
        <v>373</v>
      </c>
      <c r="H30" s="23">
        <v>5</v>
      </c>
      <c r="I30" s="23">
        <v>10</v>
      </c>
      <c r="J30" s="23" t="s">
        <v>374</v>
      </c>
      <c r="K30" s="23">
        <v>10</v>
      </c>
      <c r="L30" s="24">
        <f>$K30/INDEX('Indicator Master'!$N$4:$N$46,MATCH($A30,'Indicator Master'!$A$4:$A$46,0))*'Risk Bands (Config)'!$B$5</f>
        <v>28.571428571428569</v>
      </c>
      <c r="M30" s="23">
        <f>IF($K30=INDEX('Indicator Master'!$N$4:$N$46,MATCH($A30,'Indicator Master'!$A$4:$A$46,0)),1,0)</f>
        <v>0</v>
      </c>
      <c r="N30" s="25"/>
      <c r="O30" s="19" t="s">
        <v>458</v>
      </c>
      <c r="P30" s="19" t="s">
        <v>459</v>
      </c>
      <c r="Q30" s="19" t="s">
        <v>411</v>
      </c>
      <c r="R30" s="26" t="str">
        <f t="shared" si="0"/>
        <v>EWS-007|10</v>
      </c>
    </row>
    <row r="31" spans="1:18" ht="21.75" customHeight="1" x14ac:dyDescent="0.35">
      <c r="A31" s="25" t="s">
        <v>80</v>
      </c>
      <c r="B31" s="19" t="s">
        <v>81</v>
      </c>
      <c r="C31" s="23" t="s">
        <v>29</v>
      </c>
      <c r="D31" s="19" t="s">
        <v>84</v>
      </c>
      <c r="E31" s="23">
        <v>3</v>
      </c>
      <c r="F31" s="19" t="s">
        <v>412</v>
      </c>
      <c r="G31" s="19" t="s">
        <v>373</v>
      </c>
      <c r="H31" s="23">
        <v>10</v>
      </c>
      <c r="I31" s="23">
        <v>15</v>
      </c>
      <c r="J31" s="23" t="s">
        <v>374</v>
      </c>
      <c r="K31" s="23">
        <v>20</v>
      </c>
      <c r="L31" s="24">
        <f>$K31/INDEX('Indicator Master'!$N$4:$N$46,MATCH($A31,'Indicator Master'!$A$4:$A$46,0))*'Risk Bands (Config)'!$B$5</f>
        <v>57.142857142857139</v>
      </c>
      <c r="M31" s="23">
        <f>IF($K31=INDEX('Indicator Master'!$N$4:$N$46,MATCH($A31,'Indicator Master'!$A$4:$A$46,0)),1,0)</f>
        <v>0</v>
      </c>
      <c r="N31" s="25"/>
      <c r="O31" s="19" t="s">
        <v>460</v>
      </c>
      <c r="P31" s="19" t="s">
        <v>461</v>
      </c>
      <c r="Q31" s="19" t="s">
        <v>377</v>
      </c>
      <c r="R31" s="26" t="str">
        <f t="shared" si="0"/>
        <v>EWS-007|20</v>
      </c>
    </row>
    <row r="32" spans="1:18" ht="21.75" customHeight="1" x14ac:dyDescent="0.35">
      <c r="A32" s="25" t="s">
        <v>80</v>
      </c>
      <c r="B32" s="19" t="s">
        <v>81</v>
      </c>
      <c r="C32" s="23" t="s">
        <v>29</v>
      </c>
      <c r="D32" s="19" t="s">
        <v>84</v>
      </c>
      <c r="E32" s="23">
        <v>4</v>
      </c>
      <c r="F32" s="19" t="s">
        <v>415</v>
      </c>
      <c r="G32" s="19" t="s">
        <v>367</v>
      </c>
      <c r="H32" s="23">
        <v>15</v>
      </c>
      <c r="I32" s="23"/>
      <c r="J32" s="23" t="s">
        <v>416</v>
      </c>
      <c r="K32" s="23">
        <v>35</v>
      </c>
      <c r="L32" s="24">
        <f>$K32/INDEX('Indicator Master'!$N$4:$N$46,MATCH($A32,'Indicator Master'!$A$4:$A$46,0))*'Risk Bands (Config)'!$B$5</f>
        <v>100</v>
      </c>
      <c r="M32" s="23">
        <f>IF($K32=INDEX('Indicator Master'!$N$4:$N$46,MATCH($A32,'Indicator Master'!$A$4:$A$46,0)),1,0)</f>
        <v>1</v>
      </c>
      <c r="N32" s="25" t="s">
        <v>417</v>
      </c>
      <c r="O32" s="19" t="s">
        <v>462</v>
      </c>
      <c r="P32" s="19" t="s">
        <v>463</v>
      </c>
      <c r="Q32" s="19" t="s">
        <v>386</v>
      </c>
      <c r="R32" s="26" t="str">
        <f t="shared" si="0"/>
        <v>EWS-007|35</v>
      </c>
    </row>
    <row r="33" spans="1:18" ht="21.75" customHeight="1" x14ac:dyDescent="0.35">
      <c r="A33" s="23" t="s">
        <v>86</v>
      </c>
      <c r="B33" s="19" t="s">
        <v>87</v>
      </c>
      <c r="C33" s="23" t="s">
        <v>29</v>
      </c>
      <c r="D33" s="19" t="s">
        <v>89</v>
      </c>
      <c r="E33" s="23">
        <v>1</v>
      </c>
      <c r="F33" s="19" t="s">
        <v>406</v>
      </c>
      <c r="G33" s="19" t="s">
        <v>367</v>
      </c>
      <c r="H33" s="23"/>
      <c r="I33" s="23">
        <v>5</v>
      </c>
      <c r="J33" s="23" t="s">
        <v>368</v>
      </c>
      <c r="K33" s="23">
        <v>0</v>
      </c>
      <c r="L33" s="24">
        <f>$K33/INDEX('Indicator Master'!$N$4:$N$46,MATCH($A33,'Indicator Master'!$A$4:$A$46,0))*'Risk Bands (Config)'!$B$5</f>
        <v>0</v>
      </c>
      <c r="M33" s="23">
        <f>IF($K33=INDEX('Indicator Master'!$N$4:$N$46,MATCH($A33,'Indicator Master'!$A$4:$A$46,0)),1,0)</f>
        <v>0</v>
      </c>
      <c r="N33" s="25"/>
      <c r="O33" s="19" t="s">
        <v>464</v>
      </c>
      <c r="P33" s="19" t="s">
        <v>370</v>
      </c>
      <c r="Q33" s="19" t="s">
        <v>371</v>
      </c>
      <c r="R33" s="26" t="str">
        <f t="shared" si="0"/>
        <v>EWS-008|0</v>
      </c>
    </row>
    <row r="34" spans="1:18" ht="21.75" customHeight="1" x14ac:dyDescent="0.35">
      <c r="A34" s="23" t="s">
        <v>86</v>
      </c>
      <c r="B34" s="19" t="s">
        <v>87</v>
      </c>
      <c r="C34" s="23" t="s">
        <v>29</v>
      </c>
      <c r="D34" s="19" t="s">
        <v>89</v>
      </c>
      <c r="E34" s="23">
        <v>2</v>
      </c>
      <c r="F34" s="19" t="s">
        <v>408</v>
      </c>
      <c r="G34" s="19" t="s">
        <v>373</v>
      </c>
      <c r="H34" s="23">
        <v>5</v>
      </c>
      <c r="I34" s="23">
        <v>10</v>
      </c>
      <c r="J34" s="23" t="s">
        <v>374</v>
      </c>
      <c r="K34" s="23">
        <v>10</v>
      </c>
      <c r="L34" s="24">
        <f>$K34/INDEX('Indicator Master'!$N$4:$N$46,MATCH($A34,'Indicator Master'!$A$4:$A$46,0))*'Risk Bands (Config)'!$B$5</f>
        <v>28.571428571428569</v>
      </c>
      <c r="M34" s="23">
        <f>IF($K34=INDEX('Indicator Master'!$N$4:$N$46,MATCH($A34,'Indicator Master'!$A$4:$A$46,0)),1,0)</f>
        <v>0</v>
      </c>
      <c r="N34" s="25"/>
      <c r="O34" s="19" t="s">
        <v>465</v>
      </c>
      <c r="P34" s="19" t="s">
        <v>466</v>
      </c>
      <c r="Q34" s="19" t="s">
        <v>411</v>
      </c>
      <c r="R34" s="26" t="str">
        <f t="shared" si="0"/>
        <v>EWS-008|10</v>
      </c>
    </row>
    <row r="35" spans="1:18" ht="21.75" customHeight="1" x14ac:dyDescent="0.35">
      <c r="A35" s="23" t="s">
        <v>86</v>
      </c>
      <c r="B35" s="19" t="s">
        <v>87</v>
      </c>
      <c r="C35" s="23" t="s">
        <v>29</v>
      </c>
      <c r="D35" s="19" t="s">
        <v>89</v>
      </c>
      <c r="E35" s="23">
        <v>3</v>
      </c>
      <c r="F35" s="19" t="s">
        <v>412</v>
      </c>
      <c r="G35" s="19" t="s">
        <v>373</v>
      </c>
      <c r="H35" s="23">
        <v>10</v>
      </c>
      <c r="I35" s="23">
        <v>15</v>
      </c>
      <c r="J35" s="23" t="s">
        <v>374</v>
      </c>
      <c r="K35" s="23">
        <v>20</v>
      </c>
      <c r="L35" s="24">
        <f>$K35/INDEX('Indicator Master'!$N$4:$N$46,MATCH($A35,'Indicator Master'!$A$4:$A$46,0))*'Risk Bands (Config)'!$B$5</f>
        <v>57.142857142857139</v>
      </c>
      <c r="M35" s="23">
        <f>IF($K35=INDEX('Indicator Master'!$N$4:$N$46,MATCH($A35,'Indicator Master'!$A$4:$A$46,0)),1,0)</f>
        <v>0</v>
      </c>
      <c r="N35" s="25"/>
      <c r="O35" s="19" t="s">
        <v>467</v>
      </c>
      <c r="P35" s="19" t="s">
        <v>468</v>
      </c>
      <c r="Q35" s="19" t="s">
        <v>377</v>
      </c>
      <c r="R35" s="26" t="str">
        <f t="shared" si="0"/>
        <v>EWS-008|20</v>
      </c>
    </row>
    <row r="36" spans="1:18" ht="21.75" customHeight="1" x14ac:dyDescent="0.35">
      <c r="A36" s="23" t="s">
        <v>86</v>
      </c>
      <c r="B36" s="19" t="s">
        <v>87</v>
      </c>
      <c r="C36" s="23" t="s">
        <v>29</v>
      </c>
      <c r="D36" s="19" t="s">
        <v>89</v>
      </c>
      <c r="E36" s="23">
        <v>4</v>
      </c>
      <c r="F36" s="19" t="s">
        <v>415</v>
      </c>
      <c r="G36" s="19" t="s">
        <v>367</v>
      </c>
      <c r="H36" s="23">
        <v>15</v>
      </c>
      <c r="I36" s="23"/>
      <c r="J36" s="23" t="s">
        <v>469</v>
      </c>
      <c r="K36" s="23">
        <v>35</v>
      </c>
      <c r="L36" s="24">
        <f>$K36/INDEX('Indicator Master'!$N$4:$N$46,MATCH($A36,'Indicator Master'!$A$4:$A$46,0))*'Risk Bands (Config)'!$B$5</f>
        <v>100</v>
      </c>
      <c r="M36" s="23">
        <f>IF($K36=INDEX('Indicator Master'!$N$4:$N$46,MATCH($A36,'Indicator Master'!$A$4:$A$46,0)),1,0)</f>
        <v>1</v>
      </c>
      <c r="N36" s="25"/>
      <c r="O36" s="19" t="s">
        <v>470</v>
      </c>
      <c r="P36" s="19" t="s">
        <v>471</v>
      </c>
      <c r="Q36" s="19" t="s">
        <v>386</v>
      </c>
      <c r="R36" s="26" t="str">
        <f t="shared" si="0"/>
        <v>EWS-008|35</v>
      </c>
    </row>
    <row r="37" spans="1:18" ht="21.75" customHeight="1" x14ac:dyDescent="0.35">
      <c r="A37" s="23" t="s">
        <v>91</v>
      </c>
      <c r="B37" s="19" t="s">
        <v>92</v>
      </c>
      <c r="C37" s="23" t="s">
        <v>29</v>
      </c>
      <c r="D37" s="19" t="s">
        <v>94</v>
      </c>
      <c r="E37" s="23">
        <v>1</v>
      </c>
      <c r="F37" s="19" t="s">
        <v>472</v>
      </c>
      <c r="G37" s="19" t="s">
        <v>473</v>
      </c>
      <c r="H37" s="23">
        <v>0</v>
      </c>
      <c r="I37" s="23">
        <v>0</v>
      </c>
      <c r="J37" s="23" t="s">
        <v>393</v>
      </c>
      <c r="K37" s="23">
        <v>0</v>
      </c>
      <c r="L37" s="24">
        <f>$K37/INDEX('Indicator Master'!$N$4:$N$46,MATCH($A37,'Indicator Master'!$A$4:$A$46,0))*'Risk Bands (Config)'!$B$5</f>
        <v>0</v>
      </c>
      <c r="M37" s="23">
        <f>IF($K37=INDEX('Indicator Master'!$N$4:$N$46,MATCH($A37,'Indicator Master'!$A$4:$A$46,0)),1,0)</f>
        <v>0</v>
      </c>
      <c r="N37" s="25"/>
      <c r="O37" s="19" t="s">
        <v>474</v>
      </c>
      <c r="P37" s="19" t="s">
        <v>370</v>
      </c>
      <c r="Q37" s="19" t="s">
        <v>371</v>
      </c>
      <c r="R37" s="26" t="str">
        <f t="shared" ref="R37:R68" si="1">$A37&amp;"|"&amp;$K37</f>
        <v>EWS-009|0</v>
      </c>
    </row>
    <row r="38" spans="1:18" ht="21.75" customHeight="1" x14ac:dyDescent="0.35">
      <c r="A38" s="23" t="s">
        <v>91</v>
      </c>
      <c r="B38" s="19" t="s">
        <v>92</v>
      </c>
      <c r="C38" s="23" t="s">
        <v>29</v>
      </c>
      <c r="D38" s="19" t="s">
        <v>94</v>
      </c>
      <c r="E38" s="23">
        <v>2</v>
      </c>
      <c r="F38" s="19" t="s">
        <v>475</v>
      </c>
      <c r="G38" s="19" t="s">
        <v>473</v>
      </c>
      <c r="H38" s="23"/>
      <c r="I38" s="23">
        <v>10</v>
      </c>
      <c r="J38" s="23" t="s">
        <v>368</v>
      </c>
      <c r="K38" s="23">
        <v>10</v>
      </c>
      <c r="L38" s="24">
        <f>$K38/INDEX('Indicator Master'!$N$4:$N$46,MATCH($A38,'Indicator Master'!$A$4:$A$46,0))*'Risk Bands (Config)'!$B$5</f>
        <v>33.333333333333329</v>
      </c>
      <c r="M38" s="23">
        <f>IF($K38=INDEX('Indicator Master'!$N$4:$N$46,MATCH($A38,'Indicator Master'!$A$4:$A$46,0)),1,0)</f>
        <v>0</v>
      </c>
      <c r="N38" s="25"/>
      <c r="O38" s="19" t="s">
        <v>476</v>
      </c>
      <c r="P38" s="19" t="s">
        <v>477</v>
      </c>
      <c r="Q38" s="19" t="s">
        <v>377</v>
      </c>
      <c r="R38" s="26" t="str">
        <f t="shared" si="1"/>
        <v>EWS-009|10</v>
      </c>
    </row>
    <row r="39" spans="1:18" ht="21.75" customHeight="1" x14ac:dyDescent="0.35">
      <c r="A39" s="23" t="s">
        <v>91</v>
      </c>
      <c r="B39" s="19" t="s">
        <v>92</v>
      </c>
      <c r="C39" s="23" t="s">
        <v>29</v>
      </c>
      <c r="D39" s="19" t="s">
        <v>94</v>
      </c>
      <c r="E39" s="23">
        <v>3</v>
      </c>
      <c r="F39" s="19" t="s">
        <v>478</v>
      </c>
      <c r="G39" s="19" t="s">
        <v>479</v>
      </c>
      <c r="H39" s="23">
        <v>10</v>
      </c>
      <c r="I39" s="23">
        <v>20</v>
      </c>
      <c r="J39" s="23" t="s">
        <v>374</v>
      </c>
      <c r="K39" s="23">
        <v>20</v>
      </c>
      <c r="L39" s="24">
        <f>$K39/INDEX('Indicator Master'!$N$4:$N$46,MATCH($A39,'Indicator Master'!$A$4:$A$46,0))*'Risk Bands (Config)'!$B$5</f>
        <v>66.666666666666657</v>
      </c>
      <c r="M39" s="23">
        <f>IF($K39=INDEX('Indicator Master'!$N$4:$N$46,MATCH($A39,'Indicator Master'!$A$4:$A$46,0)),1,0)</f>
        <v>0</v>
      </c>
      <c r="N39" s="25"/>
      <c r="O39" s="19" t="s">
        <v>480</v>
      </c>
      <c r="P39" s="19" t="s">
        <v>481</v>
      </c>
      <c r="Q39" s="19" t="s">
        <v>381</v>
      </c>
      <c r="R39" s="26" t="str">
        <f t="shared" si="1"/>
        <v>EWS-009|20</v>
      </c>
    </row>
    <row r="40" spans="1:18" ht="32.25" customHeight="1" x14ac:dyDescent="0.35">
      <c r="A40" s="23" t="s">
        <v>91</v>
      </c>
      <c r="B40" s="19" t="s">
        <v>92</v>
      </c>
      <c r="C40" s="23" t="s">
        <v>29</v>
      </c>
      <c r="D40" s="19" t="s">
        <v>94</v>
      </c>
      <c r="E40" s="23">
        <v>4</v>
      </c>
      <c r="F40" s="19" t="s">
        <v>482</v>
      </c>
      <c r="G40" s="19" t="s">
        <v>473</v>
      </c>
      <c r="H40" s="23">
        <v>60</v>
      </c>
      <c r="I40" s="23"/>
      <c r="J40" s="23" t="s">
        <v>398</v>
      </c>
      <c r="K40" s="23">
        <v>30</v>
      </c>
      <c r="L40" s="24">
        <f>$K40/INDEX('Indicator Master'!$N$4:$N$46,MATCH($A40,'Indicator Master'!$A$4:$A$46,0))*'Risk Bands (Config)'!$B$5</f>
        <v>100</v>
      </c>
      <c r="M40" s="23">
        <f>IF($K40=INDEX('Indicator Master'!$N$4:$N$46,MATCH($A40,'Indicator Master'!$A$4:$A$46,0)),1,0)</f>
        <v>1</v>
      </c>
      <c r="N40" s="25"/>
      <c r="O40" s="19" t="s">
        <v>483</v>
      </c>
      <c r="P40" s="19" t="s">
        <v>484</v>
      </c>
      <c r="Q40" s="19" t="s">
        <v>386</v>
      </c>
      <c r="R40" s="26" t="str">
        <f t="shared" si="1"/>
        <v>EWS-009|30</v>
      </c>
    </row>
    <row r="41" spans="1:18" ht="21.75" customHeight="1" x14ac:dyDescent="0.35">
      <c r="A41" s="23" t="s">
        <v>97</v>
      </c>
      <c r="B41" s="19" t="s">
        <v>98</v>
      </c>
      <c r="C41" s="23" t="s">
        <v>29</v>
      </c>
      <c r="D41" s="19" t="s">
        <v>100</v>
      </c>
      <c r="E41" s="23">
        <v>1</v>
      </c>
      <c r="F41" s="19" t="s">
        <v>485</v>
      </c>
      <c r="G41" s="19" t="s">
        <v>473</v>
      </c>
      <c r="H41" s="23"/>
      <c r="I41" s="23">
        <v>15</v>
      </c>
      <c r="J41" s="23" t="s">
        <v>368</v>
      </c>
      <c r="K41" s="23">
        <v>0</v>
      </c>
      <c r="L41" s="24">
        <f>$K41/INDEX('Indicator Master'!$N$4:$N$46,MATCH($A41,'Indicator Master'!$A$4:$A$46,0))*'Risk Bands (Config)'!$B$5</f>
        <v>0</v>
      </c>
      <c r="M41" s="23">
        <f>IF($K41=INDEX('Indicator Master'!$N$4:$N$46,MATCH($A41,'Indicator Master'!$A$4:$A$46,0)),1,0)</f>
        <v>0</v>
      </c>
      <c r="N41" s="25"/>
      <c r="O41" s="19" t="s">
        <v>486</v>
      </c>
      <c r="P41" s="19" t="s">
        <v>370</v>
      </c>
      <c r="Q41" s="19" t="s">
        <v>371</v>
      </c>
      <c r="R41" s="26" t="str">
        <f t="shared" si="1"/>
        <v>EWS-010|0</v>
      </c>
    </row>
    <row r="42" spans="1:18" ht="21.75" customHeight="1" x14ac:dyDescent="0.35">
      <c r="A42" s="23" t="s">
        <v>97</v>
      </c>
      <c r="B42" s="19" t="s">
        <v>98</v>
      </c>
      <c r="C42" s="23" t="s">
        <v>29</v>
      </c>
      <c r="D42" s="19" t="s">
        <v>100</v>
      </c>
      <c r="E42" s="23">
        <v>2</v>
      </c>
      <c r="F42" s="19" t="s">
        <v>487</v>
      </c>
      <c r="G42" s="19" t="s">
        <v>479</v>
      </c>
      <c r="H42" s="23">
        <v>15</v>
      </c>
      <c r="I42" s="23">
        <v>30</v>
      </c>
      <c r="J42" s="23" t="s">
        <v>374</v>
      </c>
      <c r="K42" s="23">
        <v>10</v>
      </c>
      <c r="L42" s="24">
        <f>$K42/INDEX('Indicator Master'!$N$4:$N$46,MATCH($A42,'Indicator Master'!$A$4:$A$46,0))*'Risk Bands (Config)'!$B$5</f>
        <v>33.333333333333329</v>
      </c>
      <c r="M42" s="23">
        <f>IF($K42=INDEX('Indicator Master'!$N$4:$N$46,MATCH($A42,'Indicator Master'!$A$4:$A$46,0)),1,0)</f>
        <v>0</v>
      </c>
      <c r="N42" s="25"/>
      <c r="O42" s="19" t="s">
        <v>488</v>
      </c>
      <c r="P42" s="19" t="s">
        <v>489</v>
      </c>
      <c r="Q42" s="19" t="s">
        <v>377</v>
      </c>
      <c r="R42" s="26" t="str">
        <f t="shared" si="1"/>
        <v>EWS-010|10</v>
      </c>
    </row>
    <row r="43" spans="1:18" ht="21.75" customHeight="1" x14ac:dyDescent="0.35">
      <c r="A43" s="23" t="s">
        <v>97</v>
      </c>
      <c r="B43" s="19" t="s">
        <v>98</v>
      </c>
      <c r="C43" s="23" t="s">
        <v>29</v>
      </c>
      <c r="D43" s="19" t="s">
        <v>100</v>
      </c>
      <c r="E43" s="23">
        <v>3</v>
      </c>
      <c r="F43" s="19" t="s">
        <v>490</v>
      </c>
      <c r="G43" s="19" t="s">
        <v>479</v>
      </c>
      <c r="H43" s="23">
        <v>30</v>
      </c>
      <c r="I43" s="23">
        <v>60</v>
      </c>
      <c r="J43" s="23" t="s">
        <v>374</v>
      </c>
      <c r="K43" s="23">
        <v>20</v>
      </c>
      <c r="L43" s="24">
        <f>$K43/INDEX('Indicator Master'!$N$4:$N$46,MATCH($A43,'Indicator Master'!$A$4:$A$46,0))*'Risk Bands (Config)'!$B$5</f>
        <v>66.666666666666657</v>
      </c>
      <c r="M43" s="23">
        <f>IF($K43=INDEX('Indicator Master'!$N$4:$N$46,MATCH($A43,'Indicator Master'!$A$4:$A$46,0)),1,0)</f>
        <v>0</v>
      </c>
      <c r="N43" s="25"/>
      <c r="O43" s="19" t="s">
        <v>491</v>
      </c>
      <c r="P43" s="19" t="s">
        <v>492</v>
      </c>
      <c r="Q43" s="19" t="s">
        <v>381</v>
      </c>
      <c r="R43" s="26" t="str">
        <f t="shared" si="1"/>
        <v>EWS-010|20</v>
      </c>
    </row>
    <row r="44" spans="1:18" ht="32.25" customHeight="1" x14ac:dyDescent="0.35">
      <c r="A44" s="23" t="s">
        <v>97</v>
      </c>
      <c r="B44" s="19" t="s">
        <v>98</v>
      </c>
      <c r="C44" s="23" t="s">
        <v>29</v>
      </c>
      <c r="D44" s="19" t="s">
        <v>100</v>
      </c>
      <c r="E44" s="23">
        <v>4</v>
      </c>
      <c r="F44" s="19" t="s">
        <v>493</v>
      </c>
      <c r="G44" s="19" t="s">
        <v>473</v>
      </c>
      <c r="H44" s="23">
        <v>60</v>
      </c>
      <c r="I44" s="23"/>
      <c r="J44" s="23" t="s">
        <v>398</v>
      </c>
      <c r="K44" s="23">
        <v>30</v>
      </c>
      <c r="L44" s="24">
        <f>$K44/INDEX('Indicator Master'!$N$4:$N$46,MATCH($A44,'Indicator Master'!$A$4:$A$46,0))*'Risk Bands (Config)'!$B$5</f>
        <v>100</v>
      </c>
      <c r="M44" s="23">
        <f>IF($K44=INDEX('Indicator Master'!$N$4:$N$46,MATCH($A44,'Indicator Master'!$A$4:$A$46,0)),1,0)</f>
        <v>1</v>
      </c>
      <c r="N44" s="25"/>
      <c r="O44" s="19" t="s">
        <v>494</v>
      </c>
      <c r="P44" s="19" t="s">
        <v>495</v>
      </c>
      <c r="Q44" s="19" t="s">
        <v>386</v>
      </c>
      <c r="R44" s="26" t="str">
        <f t="shared" si="1"/>
        <v>EWS-010|30</v>
      </c>
    </row>
    <row r="45" spans="1:18" ht="21.75" customHeight="1" x14ac:dyDescent="0.35">
      <c r="A45" s="23" t="s">
        <v>103</v>
      </c>
      <c r="B45" s="19" t="s">
        <v>104</v>
      </c>
      <c r="C45" s="23" t="s">
        <v>29</v>
      </c>
      <c r="D45" s="19" t="s">
        <v>106</v>
      </c>
      <c r="E45" s="23">
        <v>1</v>
      </c>
      <c r="F45" s="19" t="s">
        <v>485</v>
      </c>
      <c r="G45" s="19" t="s">
        <v>473</v>
      </c>
      <c r="H45" s="23"/>
      <c r="I45" s="23">
        <v>15</v>
      </c>
      <c r="J45" s="23" t="s">
        <v>368</v>
      </c>
      <c r="K45" s="23">
        <v>0</v>
      </c>
      <c r="L45" s="24">
        <f>$K45/INDEX('Indicator Master'!$N$4:$N$46,MATCH($A45,'Indicator Master'!$A$4:$A$46,0))*'Risk Bands (Config)'!$B$5</f>
        <v>0</v>
      </c>
      <c r="M45" s="23">
        <f>IF($K45=INDEX('Indicator Master'!$N$4:$N$46,MATCH($A45,'Indicator Master'!$A$4:$A$46,0)),1,0)</f>
        <v>0</v>
      </c>
      <c r="N45" s="25"/>
      <c r="O45" s="19" t="s">
        <v>496</v>
      </c>
      <c r="P45" s="19" t="s">
        <v>370</v>
      </c>
      <c r="Q45" s="19" t="s">
        <v>371</v>
      </c>
      <c r="R45" s="26" t="str">
        <f t="shared" si="1"/>
        <v>EWS-011|0</v>
      </c>
    </row>
    <row r="46" spans="1:18" ht="21.75" customHeight="1" x14ac:dyDescent="0.35">
      <c r="A46" s="23" t="s">
        <v>103</v>
      </c>
      <c r="B46" s="19" t="s">
        <v>104</v>
      </c>
      <c r="C46" s="23" t="s">
        <v>29</v>
      </c>
      <c r="D46" s="19" t="s">
        <v>106</v>
      </c>
      <c r="E46" s="23">
        <v>2</v>
      </c>
      <c r="F46" s="19" t="s">
        <v>487</v>
      </c>
      <c r="G46" s="19" t="s">
        <v>479</v>
      </c>
      <c r="H46" s="23">
        <v>15</v>
      </c>
      <c r="I46" s="23">
        <v>30</v>
      </c>
      <c r="J46" s="23" t="s">
        <v>374</v>
      </c>
      <c r="K46" s="23">
        <v>10</v>
      </c>
      <c r="L46" s="24">
        <f>$K46/INDEX('Indicator Master'!$N$4:$N$46,MATCH($A46,'Indicator Master'!$A$4:$A$46,0))*'Risk Bands (Config)'!$B$5</f>
        <v>33.333333333333329</v>
      </c>
      <c r="M46" s="23">
        <f>IF($K46=INDEX('Indicator Master'!$N$4:$N$46,MATCH($A46,'Indicator Master'!$A$4:$A$46,0)),1,0)</f>
        <v>0</v>
      </c>
      <c r="N46" s="25"/>
      <c r="O46" s="19" t="s">
        <v>497</v>
      </c>
      <c r="P46" s="19" t="s">
        <v>498</v>
      </c>
      <c r="Q46" s="19" t="s">
        <v>377</v>
      </c>
      <c r="R46" s="26" t="str">
        <f t="shared" si="1"/>
        <v>EWS-011|10</v>
      </c>
    </row>
    <row r="47" spans="1:18" ht="21.75" customHeight="1" x14ac:dyDescent="0.35">
      <c r="A47" s="23" t="s">
        <v>103</v>
      </c>
      <c r="B47" s="19" t="s">
        <v>104</v>
      </c>
      <c r="C47" s="23" t="s">
        <v>29</v>
      </c>
      <c r="D47" s="19" t="s">
        <v>106</v>
      </c>
      <c r="E47" s="23">
        <v>3</v>
      </c>
      <c r="F47" s="19" t="s">
        <v>490</v>
      </c>
      <c r="G47" s="19" t="s">
        <v>479</v>
      </c>
      <c r="H47" s="23">
        <v>30</v>
      </c>
      <c r="I47" s="23">
        <v>60</v>
      </c>
      <c r="J47" s="23" t="s">
        <v>374</v>
      </c>
      <c r="K47" s="23">
        <v>20</v>
      </c>
      <c r="L47" s="24">
        <f>$K47/INDEX('Indicator Master'!$N$4:$N$46,MATCH($A47,'Indicator Master'!$A$4:$A$46,0))*'Risk Bands (Config)'!$B$5</f>
        <v>66.666666666666657</v>
      </c>
      <c r="M47" s="23">
        <f>IF($K47=INDEX('Indicator Master'!$N$4:$N$46,MATCH($A47,'Indicator Master'!$A$4:$A$46,0)),1,0)</f>
        <v>0</v>
      </c>
      <c r="N47" s="25"/>
      <c r="O47" s="19" t="s">
        <v>499</v>
      </c>
      <c r="P47" s="19" t="s">
        <v>500</v>
      </c>
      <c r="Q47" s="19" t="s">
        <v>381</v>
      </c>
      <c r="R47" s="26" t="str">
        <f t="shared" si="1"/>
        <v>EWS-011|20</v>
      </c>
    </row>
    <row r="48" spans="1:18" ht="21.75" customHeight="1" x14ac:dyDescent="0.35">
      <c r="A48" s="23" t="s">
        <v>103</v>
      </c>
      <c r="B48" s="19" t="s">
        <v>104</v>
      </c>
      <c r="C48" s="23" t="s">
        <v>29</v>
      </c>
      <c r="D48" s="19" t="s">
        <v>106</v>
      </c>
      <c r="E48" s="23">
        <v>4</v>
      </c>
      <c r="F48" s="19" t="s">
        <v>493</v>
      </c>
      <c r="G48" s="19" t="s">
        <v>473</v>
      </c>
      <c r="H48" s="23">
        <v>60</v>
      </c>
      <c r="I48" s="23"/>
      <c r="J48" s="23" t="s">
        <v>398</v>
      </c>
      <c r="K48" s="23">
        <v>30</v>
      </c>
      <c r="L48" s="24">
        <f>$K48/INDEX('Indicator Master'!$N$4:$N$46,MATCH($A48,'Indicator Master'!$A$4:$A$46,0))*'Risk Bands (Config)'!$B$5</f>
        <v>100</v>
      </c>
      <c r="M48" s="23">
        <f>IF($K48=INDEX('Indicator Master'!$N$4:$N$46,MATCH($A48,'Indicator Master'!$A$4:$A$46,0)),1,0)</f>
        <v>1</v>
      </c>
      <c r="N48" s="25"/>
      <c r="O48" s="19" t="s">
        <v>501</v>
      </c>
      <c r="P48" s="19" t="s">
        <v>502</v>
      </c>
      <c r="Q48" s="19" t="s">
        <v>386</v>
      </c>
      <c r="R48" s="26" t="str">
        <f t="shared" si="1"/>
        <v>EWS-011|30</v>
      </c>
    </row>
    <row r="49" spans="1:18" ht="21.75" customHeight="1" x14ac:dyDescent="0.35">
      <c r="A49" s="23" t="s">
        <v>108</v>
      </c>
      <c r="B49" s="19" t="s">
        <v>109</v>
      </c>
      <c r="C49" s="23" t="s">
        <v>29</v>
      </c>
      <c r="D49" s="19" t="s">
        <v>111</v>
      </c>
      <c r="E49" s="23">
        <v>1</v>
      </c>
      <c r="F49" s="19" t="s">
        <v>503</v>
      </c>
      <c r="G49" s="19" t="s">
        <v>367</v>
      </c>
      <c r="H49" s="23"/>
      <c r="I49" s="23">
        <v>10</v>
      </c>
      <c r="J49" s="23" t="s">
        <v>445</v>
      </c>
      <c r="K49" s="23">
        <v>0</v>
      </c>
      <c r="L49" s="24">
        <f>$K49/INDEX('Indicator Master'!$N$4:$N$46,MATCH($A49,'Indicator Master'!$A$4:$A$46,0))*'Risk Bands (Config)'!$B$5</f>
        <v>0</v>
      </c>
      <c r="M49" s="23">
        <f>IF($K49=INDEX('Indicator Master'!$N$4:$N$46,MATCH($A49,'Indicator Master'!$A$4:$A$46,0)),1,0)</f>
        <v>0</v>
      </c>
      <c r="N49" s="25"/>
      <c r="O49" s="19" t="s">
        <v>504</v>
      </c>
      <c r="P49" s="19" t="s">
        <v>370</v>
      </c>
      <c r="Q49" s="19" t="s">
        <v>371</v>
      </c>
      <c r="R49" s="26" t="str">
        <f t="shared" si="1"/>
        <v>EWS-012|0</v>
      </c>
    </row>
    <row r="50" spans="1:18" ht="21.75" customHeight="1" x14ac:dyDescent="0.35">
      <c r="A50" s="23" t="s">
        <v>108</v>
      </c>
      <c r="B50" s="19" t="s">
        <v>109</v>
      </c>
      <c r="C50" s="23" t="s">
        <v>29</v>
      </c>
      <c r="D50" s="19" t="s">
        <v>111</v>
      </c>
      <c r="E50" s="23">
        <v>2</v>
      </c>
      <c r="F50" s="19" t="s">
        <v>505</v>
      </c>
      <c r="G50" s="19" t="s">
        <v>373</v>
      </c>
      <c r="H50" s="23">
        <v>10</v>
      </c>
      <c r="I50" s="23">
        <v>25</v>
      </c>
      <c r="J50" s="23" t="s">
        <v>448</v>
      </c>
      <c r="K50" s="23">
        <v>15</v>
      </c>
      <c r="L50" s="24">
        <f>$K50/INDEX('Indicator Master'!$N$4:$N$46,MATCH($A50,'Indicator Master'!$A$4:$A$46,0))*'Risk Bands (Config)'!$B$5</f>
        <v>37.5</v>
      </c>
      <c r="M50" s="23">
        <f>IF($K50=INDEX('Indicator Master'!$N$4:$N$46,MATCH($A50,'Indicator Master'!$A$4:$A$46,0)),1,0)</f>
        <v>0</v>
      </c>
      <c r="N50" s="25"/>
      <c r="O50" s="19" t="s">
        <v>506</v>
      </c>
      <c r="P50" s="19" t="s">
        <v>507</v>
      </c>
      <c r="Q50" s="19" t="s">
        <v>377</v>
      </c>
      <c r="R50" s="26" t="str">
        <f t="shared" si="1"/>
        <v>EWS-012|15</v>
      </c>
    </row>
    <row r="51" spans="1:18" ht="21.75" customHeight="1" x14ac:dyDescent="0.35">
      <c r="A51" s="23" t="s">
        <v>108</v>
      </c>
      <c r="B51" s="19" t="s">
        <v>109</v>
      </c>
      <c r="C51" s="23" t="s">
        <v>29</v>
      </c>
      <c r="D51" s="19" t="s">
        <v>111</v>
      </c>
      <c r="E51" s="23">
        <v>3</v>
      </c>
      <c r="F51" s="19" t="s">
        <v>508</v>
      </c>
      <c r="G51" s="19" t="s">
        <v>373</v>
      </c>
      <c r="H51" s="23">
        <v>25</v>
      </c>
      <c r="I51" s="23">
        <v>50</v>
      </c>
      <c r="J51" s="23" t="s">
        <v>448</v>
      </c>
      <c r="K51" s="23">
        <v>30</v>
      </c>
      <c r="L51" s="24">
        <f>$K51/INDEX('Indicator Master'!$N$4:$N$46,MATCH($A51,'Indicator Master'!$A$4:$A$46,0))*'Risk Bands (Config)'!$B$5</f>
        <v>75</v>
      </c>
      <c r="M51" s="23">
        <f>IF($K51=INDEX('Indicator Master'!$N$4:$N$46,MATCH($A51,'Indicator Master'!$A$4:$A$46,0)),1,0)</f>
        <v>0</v>
      </c>
      <c r="N51" s="25"/>
      <c r="O51" s="19" t="s">
        <v>509</v>
      </c>
      <c r="P51" s="19" t="s">
        <v>510</v>
      </c>
      <c r="Q51" s="19" t="s">
        <v>381</v>
      </c>
      <c r="R51" s="26" t="str">
        <f t="shared" si="1"/>
        <v>EWS-012|30</v>
      </c>
    </row>
    <row r="52" spans="1:18" ht="21.75" customHeight="1" x14ac:dyDescent="0.35">
      <c r="A52" s="23" t="s">
        <v>108</v>
      </c>
      <c r="B52" s="19" t="s">
        <v>109</v>
      </c>
      <c r="C52" s="23" t="s">
        <v>29</v>
      </c>
      <c r="D52" s="19" t="s">
        <v>111</v>
      </c>
      <c r="E52" s="23">
        <v>4</v>
      </c>
      <c r="F52" s="19" t="s">
        <v>511</v>
      </c>
      <c r="G52" s="19" t="s">
        <v>367</v>
      </c>
      <c r="H52" s="23">
        <v>50</v>
      </c>
      <c r="I52" s="23"/>
      <c r="J52" s="23" t="s">
        <v>416</v>
      </c>
      <c r="K52" s="23">
        <v>40</v>
      </c>
      <c r="L52" s="24">
        <f>$K52/INDEX('Indicator Master'!$N$4:$N$46,MATCH($A52,'Indicator Master'!$A$4:$A$46,0))*'Risk Bands (Config)'!$B$5</f>
        <v>100</v>
      </c>
      <c r="M52" s="23">
        <f>IF($K52=INDEX('Indicator Master'!$N$4:$N$46,MATCH($A52,'Indicator Master'!$A$4:$A$46,0)),1,0)</f>
        <v>1</v>
      </c>
      <c r="N52" s="25"/>
      <c r="O52" s="19" t="s">
        <v>512</v>
      </c>
      <c r="P52" s="19" t="s">
        <v>513</v>
      </c>
      <c r="Q52" s="19" t="s">
        <v>386</v>
      </c>
      <c r="R52" s="26" t="str">
        <f t="shared" si="1"/>
        <v>EWS-012|40</v>
      </c>
    </row>
    <row r="53" spans="1:18" ht="21.75" customHeight="1" x14ac:dyDescent="0.35">
      <c r="A53" s="23" t="s">
        <v>115</v>
      </c>
      <c r="B53" s="19" t="s">
        <v>116</v>
      </c>
      <c r="C53" s="23" t="s">
        <v>29</v>
      </c>
      <c r="D53" s="19" t="s">
        <v>118</v>
      </c>
      <c r="E53" s="23">
        <v>1</v>
      </c>
      <c r="F53" s="19" t="s">
        <v>514</v>
      </c>
      <c r="G53" s="19" t="s">
        <v>367</v>
      </c>
      <c r="H53" s="23"/>
      <c r="I53" s="23">
        <v>5</v>
      </c>
      <c r="J53" s="23" t="s">
        <v>368</v>
      </c>
      <c r="K53" s="23">
        <v>0</v>
      </c>
      <c r="L53" s="24">
        <f>$K53/INDEX('Indicator Master'!$N$4:$N$46,MATCH($A53,'Indicator Master'!$A$4:$A$46,0))*'Risk Bands (Config)'!$B$5</f>
        <v>0</v>
      </c>
      <c r="M53" s="23">
        <f>IF($K53=INDEX('Indicator Master'!$N$4:$N$46,MATCH($A53,'Indicator Master'!$A$4:$A$46,0)),1,0)</f>
        <v>0</v>
      </c>
      <c r="N53" s="25"/>
      <c r="O53" s="19" t="s">
        <v>515</v>
      </c>
      <c r="P53" s="19" t="s">
        <v>370</v>
      </c>
      <c r="Q53" s="19" t="s">
        <v>371</v>
      </c>
      <c r="R53" s="26" t="str">
        <f t="shared" si="1"/>
        <v>EWS-013|0</v>
      </c>
    </row>
    <row r="54" spans="1:18" ht="21.75" customHeight="1" x14ac:dyDescent="0.35">
      <c r="A54" s="23" t="s">
        <v>115</v>
      </c>
      <c r="B54" s="19" t="s">
        <v>116</v>
      </c>
      <c r="C54" s="23" t="s">
        <v>29</v>
      </c>
      <c r="D54" s="19" t="s">
        <v>118</v>
      </c>
      <c r="E54" s="23">
        <v>2</v>
      </c>
      <c r="F54" s="19" t="s">
        <v>516</v>
      </c>
      <c r="G54" s="19" t="s">
        <v>373</v>
      </c>
      <c r="H54" s="23">
        <v>5</v>
      </c>
      <c r="I54" s="23">
        <v>10</v>
      </c>
      <c r="J54" s="23" t="s">
        <v>374</v>
      </c>
      <c r="K54" s="23">
        <v>10</v>
      </c>
      <c r="L54" s="24">
        <f>$K54/INDEX('Indicator Master'!$N$4:$N$46,MATCH($A54,'Indicator Master'!$A$4:$A$46,0))*'Risk Bands (Config)'!$B$5</f>
        <v>28.571428571428569</v>
      </c>
      <c r="M54" s="23">
        <f>IF($K54=INDEX('Indicator Master'!$N$4:$N$46,MATCH($A54,'Indicator Master'!$A$4:$A$46,0)),1,0)</f>
        <v>0</v>
      </c>
      <c r="N54" s="25"/>
      <c r="O54" s="19" t="s">
        <v>517</v>
      </c>
      <c r="P54" s="19" t="s">
        <v>518</v>
      </c>
      <c r="Q54" s="19" t="s">
        <v>411</v>
      </c>
      <c r="R54" s="26" t="str">
        <f t="shared" si="1"/>
        <v>EWS-013|10</v>
      </c>
    </row>
    <row r="55" spans="1:18" ht="21.75" customHeight="1" x14ac:dyDescent="0.35">
      <c r="A55" s="23" t="s">
        <v>115</v>
      </c>
      <c r="B55" s="19" t="s">
        <v>116</v>
      </c>
      <c r="C55" s="23" t="s">
        <v>29</v>
      </c>
      <c r="D55" s="19" t="s">
        <v>118</v>
      </c>
      <c r="E55" s="23">
        <v>3</v>
      </c>
      <c r="F55" s="19" t="s">
        <v>519</v>
      </c>
      <c r="G55" s="19" t="s">
        <v>373</v>
      </c>
      <c r="H55" s="23">
        <v>10</v>
      </c>
      <c r="I55" s="23">
        <v>15</v>
      </c>
      <c r="J55" s="23" t="s">
        <v>374</v>
      </c>
      <c r="K55" s="23">
        <v>20</v>
      </c>
      <c r="L55" s="24">
        <f>$K55/INDEX('Indicator Master'!$N$4:$N$46,MATCH($A55,'Indicator Master'!$A$4:$A$46,0))*'Risk Bands (Config)'!$B$5</f>
        <v>57.142857142857139</v>
      </c>
      <c r="M55" s="23">
        <f>IF($K55=INDEX('Indicator Master'!$N$4:$N$46,MATCH($A55,'Indicator Master'!$A$4:$A$46,0)),1,0)</f>
        <v>0</v>
      </c>
      <c r="N55" s="25"/>
      <c r="O55" s="19" t="s">
        <v>520</v>
      </c>
      <c r="P55" s="19" t="s">
        <v>521</v>
      </c>
      <c r="Q55" s="19" t="s">
        <v>377</v>
      </c>
      <c r="R55" s="26" t="str">
        <f t="shared" si="1"/>
        <v>EWS-013|20</v>
      </c>
    </row>
    <row r="56" spans="1:18" ht="21.75" customHeight="1" x14ac:dyDescent="0.35">
      <c r="A56" s="23" t="s">
        <v>115</v>
      </c>
      <c r="B56" s="19" t="s">
        <v>116</v>
      </c>
      <c r="C56" s="23" t="s">
        <v>29</v>
      </c>
      <c r="D56" s="19" t="s">
        <v>118</v>
      </c>
      <c r="E56" s="23">
        <v>4</v>
      </c>
      <c r="F56" s="19" t="s">
        <v>522</v>
      </c>
      <c r="G56" s="19" t="s">
        <v>367</v>
      </c>
      <c r="H56" s="23">
        <v>15</v>
      </c>
      <c r="I56" s="23"/>
      <c r="J56" s="23" t="s">
        <v>416</v>
      </c>
      <c r="K56" s="23">
        <v>35</v>
      </c>
      <c r="L56" s="24">
        <f>$K56/INDEX('Indicator Master'!$N$4:$N$46,MATCH($A56,'Indicator Master'!$A$4:$A$46,0))*'Risk Bands (Config)'!$B$5</f>
        <v>100</v>
      </c>
      <c r="M56" s="23">
        <f>IF($K56=INDEX('Indicator Master'!$N$4:$N$46,MATCH($A56,'Indicator Master'!$A$4:$A$46,0)),1,0)</f>
        <v>1</v>
      </c>
      <c r="N56" s="25"/>
      <c r="O56" s="19" t="s">
        <v>523</v>
      </c>
      <c r="P56" s="19" t="s">
        <v>524</v>
      </c>
      <c r="Q56" s="19" t="s">
        <v>386</v>
      </c>
      <c r="R56" s="26" t="str">
        <f t="shared" si="1"/>
        <v>EWS-013|35</v>
      </c>
    </row>
    <row r="57" spans="1:18" ht="32.25" customHeight="1" x14ac:dyDescent="0.35">
      <c r="A57" s="25" t="s">
        <v>122</v>
      </c>
      <c r="B57" s="19" t="s">
        <v>123</v>
      </c>
      <c r="C57" s="23" t="s">
        <v>29</v>
      </c>
      <c r="D57" s="19" t="s">
        <v>125</v>
      </c>
      <c r="E57" s="23">
        <v>1</v>
      </c>
      <c r="F57" s="19" t="s">
        <v>525</v>
      </c>
      <c r="G57" s="19" t="s">
        <v>367</v>
      </c>
      <c r="H57" s="23"/>
      <c r="I57" s="23">
        <v>10</v>
      </c>
      <c r="J57" s="23" t="s">
        <v>445</v>
      </c>
      <c r="K57" s="23">
        <v>0</v>
      </c>
      <c r="L57" s="24">
        <f>$K57/INDEX('Indicator Master'!$N$4:$N$46,MATCH($A57,'Indicator Master'!$A$4:$A$46,0))*'Risk Bands (Config)'!$B$5</f>
        <v>0</v>
      </c>
      <c r="M57" s="23">
        <f>IF($K57=INDEX('Indicator Master'!$N$4:$N$46,MATCH($A57,'Indicator Master'!$A$4:$A$46,0)),1,0)</f>
        <v>0</v>
      </c>
      <c r="N57" s="25"/>
      <c r="O57" s="19" t="s">
        <v>526</v>
      </c>
      <c r="P57" s="19" t="s">
        <v>370</v>
      </c>
      <c r="Q57" s="19" t="s">
        <v>371</v>
      </c>
      <c r="R57" s="26" t="str">
        <f t="shared" si="1"/>
        <v>EWS-014|0</v>
      </c>
    </row>
    <row r="58" spans="1:18" ht="32.25" customHeight="1" x14ac:dyDescent="0.35">
      <c r="A58" s="25" t="s">
        <v>122</v>
      </c>
      <c r="B58" s="19" t="s">
        <v>123</v>
      </c>
      <c r="C58" s="23" t="s">
        <v>29</v>
      </c>
      <c r="D58" s="19" t="s">
        <v>125</v>
      </c>
      <c r="E58" s="23">
        <v>2</v>
      </c>
      <c r="F58" s="19" t="s">
        <v>505</v>
      </c>
      <c r="G58" s="19" t="s">
        <v>373</v>
      </c>
      <c r="H58" s="23">
        <v>10</v>
      </c>
      <c r="I58" s="23">
        <v>25</v>
      </c>
      <c r="J58" s="23" t="s">
        <v>448</v>
      </c>
      <c r="K58" s="23">
        <v>10</v>
      </c>
      <c r="L58" s="24">
        <f>$K58/INDEX('Indicator Master'!$N$4:$N$46,MATCH($A58,'Indicator Master'!$A$4:$A$46,0))*'Risk Bands (Config)'!$B$5</f>
        <v>28.571428571428569</v>
      </c>
      <c r="M58" s="23">
        <f>IF($K58=INDEX('Indicator Master'!$N$4:$N$46,MATCH($A58,'Indicator Master'!$A$4:$A$46,0)),1,0)</f>
        <v>0</v>
      </c>
      <c r="N58" s="25"/>
      <c r="O58" s="19" t="s">
        <v>527</v>
      </c>
      <c r="P58" s="19" t="s">
        <v>528</v>
      </c>
      <c r="Q58" s="19" t="s">
        <v>411</v>
      </c>
      <c r="R58" s="26" t="str">
        <f t="shared" si="1"/>
        <v>EWS-014|10</v>
      </c>
    </row>
    <row r="59" spans="1:18" ht="32.25" customHeight="1" x14ac:dyDescent="0.35">
      <c r="A59" s="25" t="s">
        <v>122</v>
      </c>
      <c r="B59" s="19" t="s">
        <v>123</v>
      </c>
      <c r="C59" s="23" t="s">
        <v>29</v>
      </c>
      <c r="D59" s="19" t="s">
        <v>125</v>
      </c>
      <c r="E59" s="23">
        <v>3</v>
      </c>
      <c r="F59" s="19" t="s">
        <v>529</v>
      </c>
      <c r="G59" s="19" t="s">
        <v>373</v>
      </c>
      <c r="H59" s="23">
        <v>25</v>
      </c>
      <c r="I59" s="23">
        <v>50</v>
      </c>
      <c r="J59" s="23" t="s">
        <v>448</v>
      </c>
      <c r="K59" s="23">
        <v>25</v>
      </c>
      <c r="L59" s="24">
        <f>$K59/INDEX('Indicator Master'!$N$4:$N$46,MATCH($A59,'Indicator Master'!$A$4:$A$46,0))*'Risk Bands (Config)'!$B$5</f>
        <v>71.428571428571431</v>
      </c>
      <c r="M59" s="23">
        <f>IF($K59=INDEX('Indicator Master'!$N$4:$N$46,MATCH($A59,'Indicator Master'!$A$4:$A$46,0)),1,0)</f>
        <v>0</v>
      </c>
      <c r="N59" s="25"/>
      <c r="O59" s="19" t="s">
        <v>530</v>
      </c>
      <c r="P59" s="19" t="s">
        <v>531</v>
      </c>
      <c r="Q59" s="19" t="s">
        <v>440</v>
      </c>
      <c r="R59" s="26" t="str">
        <f t="shared" si="1"/>
        <v>EWS-014|25</v>
      </c>
    </row>
    <row r="60" spans="1:18" ht="42.75" customHeight="1" x14ac:dyDescent="0.35">
      <c r="A60" s="25" t="s">
        <v>122</v>
      </c>
      <c r="B60" s="19" t="s">
        <v>123</v>
      </c>
      <c r="C60" s="23" t="s">
        <v>29</v>
      </c>
      <c r="D60" s="19" t="s">
        <v>125</v>
      </c>
      <c r="E60" s="23">
        <v>4</v>
      </c>
      <c r="F60" s="19" t="s">
        <v>511</v>
      </c>
      <c r="G60" s="19" t="s">
        <v>367</v>
      </c>
      <c r="H60" s="23">
        <v>50</v>
      </c>
      <c r="I60" s="23"/>
      <c r="J60" s="23" t="s">
        <v>416</v>
      </c>
      <c r="K60" s="23">
        <v>35</v>
      </c>
      <c r="L60" s="24">
        <f>$K60/INDEX('Indicator Master'!$N$4:$N$46,MATCH($A60,'Indicator Master'!$A$4:$A$46,0))*'Risk Bands (Config)'!$B$5</f>
        <v>100</v>
      </c>
      <c r="M60" s="23">
        <f>IF($K60=INDEX('Indicator Master'!$N$4:$N$46,MATCH($A60,'Indicator Master'!$A$4:$A$46,0)),1,0)</f>
        <v>1</v>
      </c>
      <c r="N60" s="25" t="s">
        <v>417</v>
      </c>
      <c r="O60" s="19" t="s">
        <v>532</v>
      </c>
      <c r="P60" s="19" t="s">
        <v>533</v>
      </c>
      <c r="Q60" s="19" t="s">
        <v>534</v>
      </c>
      <c r="R60" s="26" t="str">
        <f t="shared" si="1"/>
        <v>EWS-014|35</v>
      </c>
    </row>
    <row r="61" spans="1:18" ht="21.75" customHeight="1" x14ac:dyDescent="0.35">
      <c r="A61" s="23" t="s">
        <v>128</v>
      </c>
      <c r="B61" s="19" t="s">
        <v>129</v>
      </c>
      <c r="C61" s="23" t="s">
        <v>29</v>
      </c>
      <c r="D61" s="19" t="s">
        <v>131</v>
      </c>
      <c r="E61" s="23">
        <v>1</v>
      </c>
      <c r="F61" s="19" t="s">
        <v>535</v>
      </c>
      <c r="G61" s="19" t="s">
        <v>367</v>
      </c>
      <c r="H61" s="23"/>
      <c r="I61" s="23">
        <v>10</v>
      </c>
      <c r="J61" s="23" t="s">
        <v>368</v>
      </c>
      <c r="K61" s="23">
        <v>0</v>
      </c>
      <c r="L61" s="24">
        <f>$K61/INDEX('Indicator Master'!$N$4:$N$46,MATCH($A61,'Indicator Master'!$A$4:$A$46,0))*'Risk Bands (Config)'!$B$5</f>
        <v>0</v>
      </c>
      <c r="M61" s="23">
        <f>IF($K61=INDEX('Indicator Master'!$N$4:$N$46,MATCH($A61,'Indicator Master'!$A$4:$A$46,0)),1,0)</f>
        <v>0</v>
      </c>
      <c r="N61" s="25"/>
      <c r="O61" s="19" t="s">
        <v>536</v>
      </c>
      <c r="P61" s="19" t="s">
        <v>370</v>
      </c>
      <c r="Q61" s="19" t="s">
        <v>371</v>
      </c>
      <c r="R61" s="26" t="str">
        <f t="shared" si="1"/>
        <v>EWS-015|0</v>
      </c>
    </row>
    <row r="62" spans="1:18" ht="21.75" customHeight="1" x14ac:dyDescent="0.35">
      <c r="A62" s="23" t="s">
        <v>128</v>
      </c>
      <c r="B62" s="19" t="s">
        <v>129</v>
      </c>
      <c r="C62" s="23" t="s">
        <v>29</v>
      </c>
      <c r="D62" s="19" t="s">
        <v>131</v>
      </c>
      <c r="E62" s="23">
        <v>2</v>
      </c>
      <c r="F62" s="19" t="s">
        <v>537</v>
      </c>
      <c r="G62" s="19" t="s">
        <v>373</v>
      </c>
      <c r="H62" s="23">
        <v>10</v>
      </c>
      <c r="I62" s="23">
        <v>20</v>
      </c>
      <c r="J62" s="23" t="s">
        <v>374</v>
      </c>
      <c r="K62" s="23">
        <v>10</v>
      </c>
      <c r="L62" s="24">
        <f>$K62/INDEX('Indicator Master'!$N$4:$N$46,MATCH($A62,'Indicator Master'!$A$4:$A$46,0))*'Risk Bands (Config)'!$B$5</f>
        <v>25</v>
      </c>
      <c r="M62" s="23">
        <f>IF($K62=INDEX('Indicator Master'!$N$4:$N$46,MATCH($A62,'Indicator Master'!$A$4:$A$46,0)),1,0)</f>
        <v>0</v>
      </c>
      <c r="N62" s="25"/>
      <c r="O62" s="19" t="s">
        <v>538</v>
      </c>
      <c r="P62" s="19" t="s">
        <v>539</v>
      </c>
      <c r="Q62" s="19" t="s">
        <v>411</v>
      </c>
      <c r="R62" s="26" t="str">
        <f t="shared" si="1"/>
        <v>EWS-015|10</v>
      </c>
    </row>
    <row r="63" spans="1:18" ht="21.75" customHeight="1" x14ac:dyDescent="0.35">
      <c r="A63" s="23" t="s">
        <v>128</v>
      </c>
      <c r="B63" s="19" t="s">
        <v>129</v>
      </c>
      <c r="C63" s="23" t="s">
        <v>29</v>
      </c>
      <c r="D63" s="19" t="s">
        <v>131</v>
      </c>
      <c r="E63" s="23">
        <v>3</v>
      </c>
      <c r="F63" s="19" t="s">
        <v>540</v>
      </c>
      <c r="G63" s="19" t="s">
        <v>373</v>
      </c>
      <c r="H63" s="23">
        <v>20</v>
      </c>
      <c r="I63" s="23">
        <v>40</v>
      </c>
      <c r="J63" s="23" t="s">
        <v>374</v>
      </c>
      <c r="K63" s="23">
        <v>20</v>
      </c>
      <c r="L63" s="24">
        <f>$K63/INDEX('Indicator Master'!$N$4:$N$46,MATCH($A63,'Indicator Master'!$A$4:$A$46,0))*'Risk Bands (Config)'!$B$5</f>
        <v>50</v>
      </c>
      <c r="M63" s="23">
        <f>IF($K63=INDEX('Indicator Master'!$N$4:$N$46,MATCH($A63,'Indicator Master'!$A$4:$A$46,0)),1,0)</f>
        <v>0</v>
      </c>
      <c r="N63" s="25"/>
      <c r="O63" s="19" t="s">
        <v>541</v>
      </c>
      <c r="P63" s="19" t="s">
        <v>542</v>
      </c>
      <c r="Q63" s="19" t="s">
        <v>377</v>
      </c>
      <c r="R63" s="26" t="str">
        <f t="shared" si="1"/>
        <v>EWS-015|20</v>
      </c>
    </row>
    <row r="64" spans="1:18" ht="21.75" customHeight="1" x14ac:dyDescent="0.35">
      <c r="A64" s="23" t="s">
        <v>128</v>
      </c>
      <c r="B64" s="19" t="s">
        <v>129</v>
      </c>
      <c r="C64" s="23" t="s">
        <v>29</v>
      </c>
      <c r="D64" s="19" t="s">
        <v>131</v>
      </c>
      <c r="E64" s="23">
        <v>4</v>
      </c>
      <c r="F64" s="19" t="s">
        <v>543</v>
      </c>
      <c r="G64" s="19" t="s">
        <v>367</v>
      </c>
      <c r="H64" s="23">
        <v>40</v>
      </c>
      <c r="I64" s="23"/>
      <c r="J64" s="23" t="s">
        <v>544</v>
      </c>
      <c r="K64" s="23">
        <v>40</v>
      </c>
      <c r="L64" s="24">
        <f>$K64/INDEX('Indicator Master'!$N$4:$N$46,MATCH($A64,'Indicator Master'!$A$4:$A$46,0))*'Risk Bands (Config)'!$B$5</f>
        <v>100</v>
      </c>
      <c r="M64" s="23">
        <f>IF($K64=INDEX('Indicator Master'!$N$4:$N$46,MATCH($A64,'Indicator Master'!$A$4:$A$46,0)),1,0)</f>
        <v>1</v>
      </c>
      <c r="N64" s="25"/>
      <c r="O64" s="19" t="s">
        <v>545</v>
      </c>
      <c r="P64" s="19" t="s">
        <v>546</v>
      </c>
      <c r="Q64" s="19" t="s">
        <v>386</v>
      </c>
      <c r="R64" s="26" t="str">
        <f t="shared" si="1"/>
        <v>EWS-015|40</v>
      </c>
    </row>
    <row r="65" spans="1:18" ht="21.75" customHeight="1" x14ac:dyDescent="0.35">
      <c r="A65" s="23" t="s">
        <v>134</v>
      </c>
      <c r="B65" s="19" t="s">
        <v>135</v>
      </c>
      <c r="C65" s="23" t="s">
        <v>29</v>
      </c>
      <c r="D65" s="19" t="s">
        <v>138</v>
      </c>
      <c r="E65" s="23">
        <v>1</v>
      </c>
      <c r="F65" s="19" t="s">
        <v>547</v>
      </c>
      <c r="G65" s="19" t="s">
        <v>432</v>
      </c>
      <c r="H65" s="23"/>
      <c r="I65" s="23"/>
      <c r="J65" s="23" t="s">
        <v>403</v>
      </c>
      <c r="K65" s="23">
        <v>0</v>
      </c>
      <c r="L65" s="24">
        <f>$K65/INDEX('Indicator Master'!$N$4:$N$46,MATCH($A65,'Indicator Master'!$A$4:$A$46,0))*'Risk Bands (Config)'!$B$5</f>
        <v>0</v>
      </c>
      <c r="M65" s="23">
        <f>IF($K65=INDEX('Indicator Master'!$N$4:$N$46,MATCH($A65,'Indicator Master'!$A$4:$A$46,0)),1,0)</f>
        <v>0</v>
      </c>
      <c r="N65" s="25"/>
      <c r="O65" s="19" t="s">
        <v>548</v>
      </c>
      <c r="P65" s="19" t="s">
        <v>370</v>
      </c>
      <c r="Q65" s="19" t="s">
        <v>371</v>
      </c>
      <c r="R65" s="26" t="str">
        <f t="shared" si="1"/>
        <v>EWS-016|0</v>
      </c>
    </row>
    <row r="66" spans="1:18" ht="21.75" customHeight="1" x14ac:dyDescent="0.35">
      <c r="A66" s="23" t="s">
        <v>134</v>
      </c>
      <c r="B66" s="19" t="s">
        <v>135</v>
      </c>
      <c r="C66" s="23" t="s">
        <v>29</v>
      </c>
      <c r="D66" s="19" t="s">
        <v>138</v>
      </c>
      <c r="E66" s="23">
        <v>2</v>
      </c>
      <c r="F66" s="19" t="s">
        <v>549</v>
      </c>
      <c r="G66" s="19" t="s">
        <v>432</v>
      </c>
      <c r="H66" s="23"/>
      <c r="I66" s="23"/>
      <c r="J66" s="23" t="s">
        <v>403</v>
      </c>
      <c r="K66" s="23">
        <v>15</v>
      </c>
      <c r="L66" s="24">
        <f>$K66/INDEX('Indicator Master'!$N$4:$N$46,MATCH($A66,'Indicator Master'!$A$4:$A$46,0))*'Risk Bands (Config)'!$B$5</f>
        <v>30</v>
      </c>
      <c r="M66" s="23">
        <f>IF($K66=INDEX('Indicator Master'!$N$4:$N$46,MATCH($A66,'Indicator Master'!$A$4:$A$46,0)),1,0)</f>
        <v>0</v>
      </c>
      <c r="N66" s="25"/>
      <c r="O66" s="19" t="s">
        <v>550</v>
      </c>
      <c r="P66" s="19" t="s">
        <v>551</v>
      </c>
      <c r="Q66" s="19" t="s">
        <v>411</v>
      </c>
      <c r="R66" s="26" t="str">
        <f t="shared" si="1"/>
        <v>EWS-016|15</v>
      </c>
    </row>
    <row r="67" spans="1:18" ht="32.25" customHeight="1" x14ac:dyDescent="0.35">
      <c r="A67" s="23" t="s">
        <v>134</v>
      </c>
      <c r="B67" s="19" t="s">
        <v>135</v>
      </c>
      <c r="C67" s="23" t="s">
        <v>29</v>
      </c>
      <c r="D67" s="19" t="s">
        <v>138</v>
      </c>
      <c r="E67" s="23">
        <v>3</v>
      </c>
      <c r="F67" s="19" t="s">
        <v>552</v>
      </c>
      <c r="G67" s="19" t="s">
        <v>432</v>
      </c>
      <c r="H67" s="23"/>
      <c r="I67" s="23"/>
      <c r="J67" s="23" t="s">
        <v>403</v>
      </c>
      <c r="K67" s="23">
        <v>50</v>
      </c>
      <c r="L67" s="24">
        <f>$K67/INDEX('Indicator Master'!$N$4:$N$46,MATCH($A67,'Indicator Master'!$A$4:$A$46,0))*'Risk Bands (Config)'!$B$5</f>
        <v>100</v>
      </c>
      <c r="M67" s="23">
        <f>IF($K67=INDEX('Indicator Master'!$N$4:$N$46,MATCH($A67,'Indicator Master'!$A$4:$A$46,0)),1,0)</f>
        <v>1</v>
      </c>
      <c r="N67" s="25"/>
      <c r="O67" s="19" t="s">
        <v>553</v>
      </c>
      <c r="P67" s="19" t="s">
        <v>554</v>
      </c>
      <c r="Q67" s="19" t="s">
        <v>386</v>
      </c>
      <c r="R67" s="26" t="str">
        <f t="shared" si="1"/>
        <v>EWS-016|50</v>
      </c>
    </row>
    <row r="68" spans="1:18" ht="21.75" customHeight="1" x14ac:dyDescent="0.35">
      <c r="A68" s="23" t="s">
        <v>143</v>
      </c>
      <c r="B68" s="19" t="s">
        <v>144</v>
      </c>
      <c r="C68" s="23" t="s">
        <v>29</v>
      </c>
      <c r="D68" s="19" t="s">
        <v>146</v>
      </c>
      <c r="E68" s="23">
        <v>1</v>
      </c>
      <c r="F68" s="19" t="s">
        <v>547</v>
      </c>
      <c r="G68" s="19" t="s">
        <v>432</v>
      </c>
      <c r="H68" s="23"/>
      <c r="I68" s="23"/>
      <c r="J68" s="23" t="s">
        <v>403</v>
      </c>
      <c r="K68" s="23">
        <v>0</v>
      </c>
      <c r="L68" s="24">
        <f>$K68/INDEX('Indicator Master'!$N$4:$N$46,MATCH($A68,'Indicator Master'!$A$4:$A$46,0))*'Risk Bands (Config)'!$B$5</f>
        <v>0</v>
      </c>
      <c r="M68" s="23">
        <f>IF($K68=INDEX('Indicator Master'!$N$4:$N$46,MATCH($A68,'Indicator Master'!$A$4:$A$46,0)),1,0)</f>
        <v>0</v>
      </c>
      <c r="N68" s="25"/>
      <c r="O68" s="19" t="s">
        <v>555</v>
      </c>
      <c r="P68" s="19" t="s">
        <v>370</v>
      </c>
      <c r="Q68" s="19" t="s">
        <v>371</v>
      </c>
      <c r="R68" s="26" t="str">
        <f t="shared" si="1"/>
        <v>EWS-017|0</v>
      </c>
    </row>
    <row r="69" spans="1:18" ht="21.75" customHeight="1" x14ac:dyDescent="0.35">
      <c r="A69" s="23" t="s">
        <v>143</v>
      </c>
      <c r="B69" s="19" t="s">
        <v>144</v>
      </c>
      <c r="C69" s="23" t="s">
        <v>29</v>
      </c>
      <c r="D69" s="19" t="s">
        <v>146</v>
      </c>
      <c r="E69" s="23">
        <v>2</v>
      </c>
      <c r="F69" s="19" t="s">
        <v>549</v>
      </c>
      <c r="G69" s="19" t="s">
        <v>432</v>
      </c>
      <c r="H69" s="23"/>
      <c r="I69" s="23"/>
      <c r="J69" s="23" t="s">
        <v>403</v>
      </c>
      <c r="K69" s="23">
        <v>15</v>
      </c>
      <c r="L69" s="24">
        <f>$K69/INDEX('Indicator Master'!$N$4:$N$46,MATCH($A69,'Indicator Master'!$A$4:$A$46,0))*'Risk Bands (Config)'!$B$5</f>
        <v>30</v>
      </c>
      <c r="M69" s="23">
        <f>IF($K69=INDEX('Indicator Master'!$N$4:$N$46,MATCH($A69,'Indicator Master'!$A$4:$A$46,0)),1,0)</f>
        <v>0</v>
      </c>
      <c r="N69" s="25"/>
      <c r="O69" s="19" t="s">
        <v>556</v>
      </c>
      <c r="P69" s="19" t="s">
        <v>557</v>
      </c>
      <c r="Q69" s="19" t="s">
        <v>411</v>
      </c>
      <c r="R69" s="26" t="str">
        <f t="shared" ref="R69:R100" si="2">$A69&amp;"|"&amp;$K69</f>
        <v>EWS-017|15</v>
      </c>
    </row>
    <row r="70" spans="1:18" ht="32.25" customHeight="1" x14ac:dyDescent="0.35">
      <c r="A70" s="23" t="s">
        <v>143</v>
      </c>
      <c r="B70" s="19" t="s">
        <v>144</v>
      </c>
      <c r="C70" s="23" t="s">
        <v>29</v>
      </c>
      <c r="D70" s="19" t="s">
        <v>146</v>
      </c>
      <c r="E70" s="23">
        <v>3</v>
      </c>
      <c r="F70" s="19" t="s">
        <v>552</v>
      </c>
      <c r="G70" s="19" t="s">
        <v>432</v>
      </c>
      <c r="H70" s="23"/>
      <c r="I70" s="23"/>
      <c r="J70" s="23" t="s">
        <v>403</v>
      </c>
      <c r="K70" s="23">
        <v>50</v>
      </c>
      <c r="L70" s="24">
        <f>$K70/INDEX('Indicator Master'!$N$4:$N$46,MATCH($A70,'Indicator Master'!$A$4:$A$46,0))*'Risk Bands (Config)'!$B$5</f>
        <v>100</v>
      </c>
      <c r="M70" s="23">
        <f>IF($K70=INDEX('Indicator Master'!$N$4:$N$46,MATCH($A70,'Indicator Master'!$A$4:$A$46,0)),1,0)</f>
        <v>1</v>
      </c>
      <c r="N70" s="25"/>
      <c r="O70" s="19" t="s">
        <v>558</v>
      </c>
      <c r="P70" s="19" t="s">
        <v>559</v>
      </c>
      <c r="Q70" s="19" t="s">
        <v>386</v>
      </c>
      <c r="R70" s="26" t="str">
        <f t="shared" si="2"/>
        <v>EWS-017|50</v>
      </c>
    </row>
    <row r="71" spans="1:18" ht="21.75" customHeight="1" x14ac:dyDescent="0.35">
      <c r="A71" s="23" t="s">
        <v>149</v>
      </c>
      <c r="B71" s="19" t="s">
        <v>150</v>
      </c>
      <c r="C71" s="23" t="s">
        <v>29</v>
      </c>
      <c r="D71" s="19" t="s">
        <v>153</v>
      </c>
      <c r="E71" s="23">
        <v>1</v>
      </c>
      <c r="F71" s="19" t="s">
        <v>560</v>
      </c>
      <c r="G71" s="19" t="s">
        <v>432</v>
      </c>
      <c r="H71" s="23"/>
      <c r="I71" s="23"/>
      <c r="J71" s="23" t="s">
        <v>403</v>
      </c>
      <c r="K71" s="23">
        <v>0</v>
      </c>
      <c r="L71" s="24">
        <f>$K71/INDEX('Indicator Master'!$N$4:$N$46,MATCH($A71,'Indicator Master'!$A$4:$A$46,0))*'Risk Bands (Config)'!$B$5</f>
        <v>0</v>
      </c>
      <c r="M71" s="23">
        <f>IF($K71=INDEX('Indicator Master'!$N$4:$N$46,MATCH($A71,'Indicator Master'!$A$4:$A$46,0)),1,0)</f>
        <v>0</v>
      </c>
      <c r="N71" s="25"/>
      <c r="O71" s="19" t="s">
        <v>561</v>
      </c>
      <c r="P71" s="19" t="s">
        <v>370</v>
      </c>
      <c r="Q71" s="19" t="s">
        <v>371</v>
      </c>
      <c r="R71" s="26" t="str">
        <f t="shared" si="2"/>
        <v>EWS-018|0</v>
      </c>
    </row>
    <row r="72" spans="1:18" ht="21.75" customHeight="1" x14ac:dyDescent="0.35">
      <c r="A72" s="23" t="s">
        <v>149</v>
      </c>
      <c r="B72" s="19" t="s">
        <v>150</v>
      </c>
      <c r="C72" s="23" t="s">
        <v>29</v>
      </c>
      <c r="D72" s="19" t="s">
        <v>153</v>
      </c>
      <c r="E72" s="23">
        <v>2</v>
      </c>
      <c r="F72" s="19" t="s">
        <v>562</v>
      </c>
      <c r="G72" s="19" t="s">
        <v>432</v>
      </c>
      <c r="H72" s="23"/>
      <c r="I72" s="23"/>
      <c r="J72" s="23" t="s">
        <v>403</v>
      </c>
      <c r="K72" s="23">
        <v>15</v>
      </c>
      <c r="L72" s="24">
        <f>$K72/INDEX('Indicator Master'!$N$4:$N$46,MATCH($A72,'Indicator Master'!$A$4:$A$46,0))*'Risk Bands (Config)'!$B$5</f>
        <v>37.5</v>
      </c>
      <c r="M72" s="23">
        <f>IF($K72=INDEX('Indicator Master'!$N$4:$N$46,MATCH($A72,'Indicator Master'!$A$4:$A$46,0)),1,0)</f>
        <v>0</v>
      </c>
      <c r="N72" s="25"/>
      <c r="O72" s="19" t="s">
        <v>563</v>
      </c>
      <c r="P72" s="19" t="s">
        <v>564</v>
      </c>
      <c r="Q72" s="19" t="s">
        <v>377</v>
      </c>
      <c r="R72" s="26" t="str">
        <f t="shared" si="2"/>
        <v>EWS-018|15</v>
      </c>
    </row>
    <row r="73" spans="1:18" ht="21.75" customHeight="1" x14ac:dyDescent="0.35">
      <c r="A73" s="23" t="s">
        <v>149</v>
      </c>
      <c r="B73" s="19" t="s">
        <v>150</v>
      </c>
      <c r="C73" s="23" t="s">
        <v>29</v>
      </c>
      <c r="D73" s="19" t="s">
        <v>153</v>
      </c>
      <c r="E73" s="23">
        <v>3</v>
      </c>
      <c r="F73" s="19" t="s">
        <v>565</v>
      </c>
      <c r="G73" s="19" t="s">
        <v>432</v>
      </c>
      <c r="H73" s="23"/>
      <c r="I73" s="23"/>
      <c r="J73" s="23" t="s">
        <v>403</v>
      </c>
      <c r="K73" s="23">
        <v>25</v>
      </c>
      <c r="L73" s="24">
        <f>$K73/INDEX('Indicator Master'!$N$4:$N$46,MATCH($A73,'Indicator Master'!$A$4:$A$46,0))*'Risk Bands (Config)'!$B$5</f>
        <v>62.5</v>
      </c>
      <c r="M73" s="23">
        <f>IF($K73=INDEX('Indicator Master'!$N$4:$N$46,MATCH($A73,'Indicator Master'!$A$4:$A$46,0)),1,0)</f>
        <v>0</v>
      </c>
      <c r="N73" s="25"/>
      <c r="O73" s="19" t="s">
        <v>566</v>
      </c>
      <c r="P73" s="19" t="s">
        <v>567</v>
      </c>
      <c r="Q73" s="19" t="s">
        <v>381</v>
      </c>
      <c r="R73" s="26" t="str">
        <f t="shared" si="2"/>
        <v>EWS-018|25</v>
      </c>
    </row>
    <row r="74" spans="1:18" ht="21.75" customHeight="1" x14ac:dyDescent="0.35">
      <c r="A74" s="23" t="s">
        <v>149</v>
      </c>
      <c r="B74" s="19" t="s">
        <v>150</v>
      </c>
      <c r="C74" s="23" t="s">
        <v>29</v>
      </c>
      <c r="D74" s="19" t="s">
        <v>153</v>
      </c>
      <c r="E74" s="23">
        <v>4</v>
      </c>
      <c r="F74" s="19" t="s">
        <v>568</v>
      </c>
      <c r="G74" s="19" t="s">
        <v>432</v>
      </c>
      <c r="H74" s="23"/>
      <c r="I74" s="23"/>
      <c r="J74" s="23" t="s">
        <v>403</v>
      </c>
      <c r="K74" s="23">
        <v>40</v>
      </c>
      <c r="L74" s="24">
        <f>$K74/INDEX('Indicator Master'!$N$4:$N$46,MATCH($A74,'Indicator Master'!$A$4:$A$46,0))*'Risk Bands (Config)'!$B$5</f>
        <v>100</v>
      </c>
      <c r="M74" s="23">
        <f>IF($K74=INDEX('Indicator Master'!$N$4:$N$46,MATCH($A74,'Indicator Master'!$A$4:$A$46,0)),1,0)</f>
        <v>1</v>
      </c>
      <c r="N74" s="25"/>
      <c r="O74" s="19" t="s">
        <v>569</v>
      </c>
      <c r="P74" s="19" t="s">
        <v>570</v>
      </c>
      <c r="Q74" s="19" t="s">
        <v>386</v>
      </c>
      <c r="R74" s="26" t="str">
        <f t="shared" si="2"/>
        <v>EWS-018|40</v>
      </c>
    </row>
    <row r="75" spans="1:18" ht="32.25" customHeight="1" x14ac:dyDescent="0.35">
      <c r="A75" s="23" t="s">
        <v>158</v>
      </c>
      <c r="B75" s="19" t="s">
        <v>159</v>
      </c>
      <c r="C75" s="23" t="s">
        <v>29</v>
      </c>
      <c r="D75" s="19" t="s">
        <v>162</v>
      </c>
      <c r="E75" s="23">
        <v>1</v>
      </c>
      <c r="F75" s="19" t="s">
        <v>560</v>
      </c>
      <c r="G75" s="19" t="s">
        <v>432</v>
      </c>
      <c r="H75" s="23"/>
      <c r="I75" s="23"/>
      <c r="J75" s="23" t="s">
        <v>403</v>
      </c>
      <c r="K75" s="23">
        <v>0</v>
      </c>
      <c r="L75" s="24">
        <f>$K75/INDEX('Indicator Master'!$N$4:$N$46,MATCH($A75,'Indicator Master'!$A$4:$A$46,0))*'Risk Bands (Config)'!$B$5</f>
        <v>0</v>
      </c>
      <c r="M75" s="23">
        <f>IF($K75=INDEX('Indicator Master'!$N$4:$N$46,MATCH($A75,'Indicator Master'!$A$4:$A$46,0)),1,0)</f>
        <v>0</v>
      </c>
      <c r="N75" s="25"/>
      <c r="O75" s="19" t="s">
        <v>571</v>
      </c>
      <c r="P75" s="19" t="s">
        <v>370</v>
      </c>
      <c r="Q75" s="19" t="s">
        <v>371</v>
      </c>
      <c r="R75" s="26" t="str">
        <f t="shared" si="2"/>
        <v>EWS-019|0</v>
      </c>
    </row>
    <row r="76" spans="1:18" ht="42.75" customHeight="1" x14ac:dyDescent="0.35">
      <c r="A76" s="23" t="s">
        <v>158</v>
      </c>
      <c r="B76" s="19" t="s">
        <v>159</v>
      </c>
      <c r="C76" s="23" t="s">
        <v>29</v>
      </c>
      <c r="D76" s="19" t="s">
        <v>162</v>
      </c>
      <c r="E76" s="23">
        <v>2</v>
      </c>
      <c r="F76" s="19" t="s">
        <v>572</v>
      </c>
      <c r="G76" s="19" t="s">
        <v>432</v>
      </c>
      <c r="H76" s="23"/>
      <c r="I76" s="23"/>
      <c r="J76" s="23" t="s">
        <v>403</v>
      </c>
      <c r="K76" s="23">
        <v>40</v>
      </c>
      <c r="L76" s="24">
        <f>$K76/INDEX('Indicator Master'!$N$4:$N$46,MATCH($A76,'Indicator Master'!$A$4:$A$46,0))*'Risk Bands (Config)'!$B$5</f>
        <v>100</v>
      </c>
      <c r="M76" s="23">
        <f>IF($K76=INDEX('Indicator Master'!$N$4:$N$46,MATCH($A76,'Indicator Master'!$A$4:$A$46,0)),1,0)</f>
        <v>1</v>
      </c>
      <c r="N76" s="25"/>
      <c r="O76" s="19" t="s">
        <v>573</v>
      </c>
      <c r="P76" s="19" t="s">
        <v>574</v>
      </c>
      <c r="Q76" s="19" t="s">
        <v>575</v>
      </c>
      <c r="R76" s="26" t="str">
        <f t="shared" si="2"/>
        <v>EWS-019|40</v>
      </c>
    </row>
    <row r="77" spans="1:18" ht="21.75" customHeight="1" x14ac:dyDescent="0.35">
      <c r="A77" s="23" t="s">
        <v>167</v>
      </c>
      <c r="B77" s="19" t="s">
        <v>168</v>
      </c>
      <c r="C77" s="23" t="s">
        <v>29</v>
      </c>
      <c r="D77" s="19" t="s">
        <v>170</v>
      </c>
      <c r="E77" s="23">
        <v>1</v>
      </c>
      <c r="F77" s="19" t="s">
        <v>576</v>
      </c>
      <c r="G77" s="19" t="s">
        <v>432</v>
      </c>
      <c r="H77" s="23"/>
      <c r="I77" s="23"/>
      <c r="J77" s="23" t="s">
        <v>403</v>
      </c>
      <c r="K77" s="23">
        <v>0</v>
      </c>
      <c r="L77" s="24">
        <f>$K77/INDEX('Indicator Master'!$N$4:$N$46,MATCH($A77,'Indicator Master'!$A$4:$A$46,0))*'Risk Bands (Config)'!$B$5</f>
        <v>0</v>
      </c>
      <c r="M77" s="23">
        <f>IF($K77=INDEX('Indicator Master'!$N$4:$N$46,MATCH($A77,'Indicator Master'!$A$4:$A$46,0)),1,0)</f>
        <v>0</v>
      </c>
      <c r="N77" s="25"/>
      <c r="O77" s="19" t="s">
        <v>577</v>
      </c>
      <c r="P77" s="19" t="s">
        <v>370</v>
      </c>
      <c r="Q77" s="19" t="s">
        <v>371</v>
      </c>
      <c r="R77" s="26" t="str">
        <f t="shared" si="2"/>
        <v>EWS-020|0</v>
      </c>
    </row>
    <row r="78" spans="1:18" ht="21.75" customHeight="1" x14ac:dyDescent="0.35">
      <c r="A78" s="23" t="s">
        <v>167</v>
      </c>
      <c r="B78" s="19" t="s">
        <v>168</v>
      </c>
      <c r="C78" s="23" t="s">
        <v>29</v>
      </c>
      <c r="D78" s="19" t="s">
        <v>170</v>
      </c>
      <c r="E78" s="23">
        <v>2</v>
      </c>
      <c r="F78" s="19" t="s">
        <v>578</v>
      </c>
      <c r="G78" s="19" t="s">
        <v>432</v>
      </c>
      <c r="H78" s="23"/>
      <c r="I78" s="23"/>
      <c r="J78" s="23" t="s">
        <v>403</v>
      </c>
      <c r="K78" s="23">
        <v>10</v>
      </c>
      <c r="L78" s="24">
        <f>$K78/INDEX('Indicator Master'!$N$4:$N$46,MATCH($A78,'Indicator Master'!$A$4:$A$46,0))*'Risk Bands (Config)'!$B$5</f>
        <v>25</v>
      </c>
      <c r="M78" s="23">
        <f>IF($K78=INDEX('Indicator Master'!$N$4:$N$46,MATCH($A78,'Indicator Master'!$A$4:$A$46,0)),1,0)</f>
        <v>0</v>
      </c>
      <c r="N78" s="25"/>
      <c r="O78" s="19" t="s">
        <v>579</v>
      </c>
      <c r="P78" s="19" t="s">
        <v>580</v>
      </c>
      <c r="Q78" s="19" t="s">
        <v>411</v>
      </c>
      <c r="R78" s="26" t="str">
        <f t="shared" si="2"/>
        <v>EWS-020|10</v>
      </c>
    </row>
    <row r="79" spans="1:18" ht="21.75" customHeight="1" x14ac:dyDescent="0.35">
      <c r="A79" s="23" t="s">
        <v>167</v>
      </c>
      <c r="B79" s="19" t="s">
        <v>168</v>
      </c>
      <c r="C79" s="23" t="s">
        <v>29</v>
      </c>
      <c r="D79" s="19" t="s">
        <v>170</v>
      </c>
      <c r="E79" s="23">
        <v>3</v>
      </c>
      <c r="F79" s="19" t="s">
        <v>581</v>
      </c>
      <c r="G79" s="19" t="s">
        <v>432</v>
      </c>
      <c r="H79" s="23"/>
      <c r="I79" s="23"/>
      <c r="J79" s="23" t="s">
        <v>403</v>
      </c>
      <c r="K79" s="23">
        <v>25</v>
      </c>
      <c r="L79" s="24">
        <f>$K79/INDEX('Indicator Master'!$N$4:$N$46,MATCH($A79,'Indicator Master'!$A$4:$A$46,0))*'Risk Bands (Config)'!$B$5</f>
        <v>62.5</v>
      </c>
      <c r="M79" s="23">
        <f>IF($K79=INDEX('Indicator Master'!$N$4:$N$46,MATCH($A79,'Indicator Master'!$A$4:$A$46,0)),1,0)</f>
        <v>0</v>
      </c>
      <c r="N79" s="25"/>
      <c r="O79" s="19" t="s">
        <v>582</v>
      </c>
      <c r="P79" s="19" t="s">
        <v>583</v>
      </c>
      <c r="Q79" s="19" t="s">
        <v>381</v>
      </c>
      <c r="R79" s="26" t="str">
        <f t="shared" si="2"/>
        <v>EWS-020|25</v>
      </c>
    </row>
    <row r="80" spans="1:18" ht="21.75" customHeight="1" x14ac:dyDescent="0.35">
      <c r="A80" s="23" t="s">
        <v>167</v>
      </c>
      <c r="B80" s="19" t="s">
        <v>168</v>
      </c>
      <c r="C80" s="23" t="s">
        <v>29</v>
      </c>
      <c r="D80" s="19" t="s">
        <v>170</v>
      </c>
      <c r="E80" s="23">
        <v>4</v>
      </c>
      <c r="F80" s="19" t="s">
        <v>584</v>
      </c>
      <c r="G80" s="19" t="s">
        <v>432</v>
      </c>
      <c r="H80" s="23"/>
      <c r="I80" s="23"/>
      <c r="J80" s="23" t="s">
        <v>403</v>
      </c>
      <c r="K80" s="23">
        <v>40</v>
      </c>
      <c r="L80" s="24">
        <f>$K80/INDEX('Indicator Master'!$N$4:$N$46,MATCH($A80,'Indicator Master'!$A$4:$A$46,0))*'Risk Bands (Config)'!$B$5</f>
        <v>100</v>
      </c>
      <c r="M80" s="23">
        <f>IF($K80=INDEX('Indicator Master'!$N$4:$N$46,MATCH($A80,'Indicator Master'!$A$4:$A$46,0)),1,0)</f>
        <v>1</v>
      </c>
      <c r="N80" s="25"/>
      <c r="O80" s="19" t="s">
        <v>585</v>
      </c>
      <c r="P80" s="19" t="s">
        <v>586</v>
      </c>
      <c r="Q80" s="19" t="s">
        <v>386</v>
      </c>
      <c r="R80" s="26" t="str">
        <f t="shared" si="2"/>
        <v>EWS-020|40</v>
      </c>
    </row>
    <row r="81" spans="1:18" ht="21.75" customHeight="1" x14ac:dyDescent="0.35">
      <c r="A81" s="23" t="s">
        <v>173</v>
      </c>
      <c r="B81" s="19" t="s">
        <v>174</v>
      </c>
      <c r="C81" s="23" t="s">
        <v>29</v>
      </c>
      <c r="D81" s="19" t="s">
        <v>177</v>
      </c>
      <c r="E81" s="23">
        <v>1</v>
      </c>
      <c r="F81" s="19" t="s">
        <v>587</v>
      </c>
      <c r="G81" s="19" t="s">
        <v>432</v>
      </c>
      <c r="H81" s="23"/>
      <c r="I81" s="23"/>
      <c r="J81" s="23" t="s">
        <v>403</v>
      </c>
      <c r="K81" s="23">
        <v>0</v>
      </c>
      <c r="L81" s="24">
        <f>$K81/INDEX('Indicator Master'!$N$4:$N$46,MATCH($A81,'Indicator Master'!$A$4:$A$46,0))*'Risk Bands (Config)'!$B$5</f>
        <v>0</v>
      </c>
      <c r="M81" s="23">
        <f>IF($K81=INDEX('Indicator Master'!$N$4:$N$46,MATCH($A81,'Indicator Master'!$A$4:$A$46,0)),1,0)</f>
        <v>0</v>
      </c>
      <c r="N81" s="25"/>
      <c r="O81" s="19" t="s">
        <v>588</v>
      </c>
      <c r="P81" s="19" t="s">
        <v>370</v>
      </c>
      <c r="Q81" s="19" t="s">
        <v>371</v>
      </c>
      <c r="R81" s="26" t="str">
        <f t="shared" si="2"/>
        <v>EWS-021|0</v>
      </c>
    </row>
    <row r="82" spans="1:18" ht="21.75" customHeight="1" x14ac:dyDescent="0.35">
      <c r="A82" s="23" t="s">
        <v>173</v>
      </c>
      <c r="B82" s="19" t="s">
        <v>174</v>
      </c>
      <c r="C82" s="23" t="s">
        <v>29</v>
      </c>
      <c r="D82" s="19" t="s">
        <v>177</v>
      </c>
      <c r="E82" s="23">
        <v>2</v>
      </c>
      <c r="F82" s="19" t="s">
        <v>589</v>
      </c>
      <c r="G82" s="19" t="s">
        <v>432</v>
      </c>
      <c r="H82" s="23"/>
      <c r="I82" s="23"/>
      <c r="J82" s="23" t="s">
        <v>403</v>
      </c>
      <c r="K82" s="23">
        <v>10</v>
      </c>
      <c r="L82" s="24">
        <f>$K82/INDEX('Indicator Master'!$N$4:$N$46,MATCH($A82,'Indicator Master'!$A$4:$A$46,0))*'Risk Bands (Config)'!$B$5</f>
        <v>25</v>
      </c>
      <c r="M82" s="23">
        <f>IF($K82=INDEX('Indicator Master'!$N$4:$N$46,MATCH($A82,'Indicator Master'!$A$4:$A$46,0)),1,0)</f>
        <v>0</v>
      </c>
      <c r="N82" s="25"/>
      <c r="O82" s="19" t="s">
        <v>590</v>
      </c>
      <c r="P82" s="19" t="s">
        <v>591</v>
      </c>
      <c r="Q82" s="19" t="s">
        <v>411</v>
      </c>
      <c r="R82" s="26" t="str">
        <f t="shared" si="2"/>
        <v>EWS-021|10</v>
      </c>
    </row>
    <row r="83" spans="1:18" ht="21.75" customHeight="1" x14ac:dyDescent="0.35">
      <c r="A83" s="23" t="s">
        <v>173</v>
      </c>
      <c r="B83" s="19" t="s">
        <v>174</v>
      </c>
      <c r="C83" s="23" t="s">
        <v>29</v>
      </c>
      <c r="D83" s="19" t="s">
        <v>177</v>
      </c>
      <c r="E83" s="23">
        <v>3</v>
      </c>
      <c r="F83" s="19" t="s">
        <v>592</v>
      </c>
      <c r="G83" s="19" t="s">
        <v>432</v>
      </c>
      <c r="H83" s="23"/>
      <c r="I83" s="23"/>
      <c r="J83" s="23" t="s">
        <v>403</v>
      </c>
      <c r="K83" s="23">
        <v>25</v>
      </c>
      <c r="L83" s="24">
        <f>$K83/INDEX('Indicator Master'!$N$4:$N$46,MATCH($A83,'Indicator Master'!$A$4:$A$46,0))*'Risk Bands (Config)'!$B$5</f>
        <v>62.5</v>
      </c>
      <c r="M83" s="23">
        <f>IF($K83=INDEX('Indicator Master'!$N$4:$N$46,MATCH($A83,'Indicator Master'!$A$4:$A$46,0)),1,0)</f>
        <v>0</v>
      </c>
      <c r="N83" s="25"/>
      <c r="O83" s="19" t="s">
        <v>593</v>
      </c>
      <c r="P83" s="19" t="s">
        <v>594</v>
      </c>
      <c r="Q83" s="19" t="s">
        <v>381</v>
      </c>
      <c r="R83" s="26" t="str">
        <f t="shared" si="2"/>
        <v>EWS-021|25</v>
      </c>
    </row>
    <row r="84" spans="1:18" ht="21.75" customHeight="1" x14ac:dyDescent="0.35">
      <c r="A84" s="23" t="s">
        <v>173</v>
      </c>
      <c r="B84" s="19" t="s">
        <v>174</v>
      </c>
      <c r="C84" s="23" t="s">
        <v>29</v>
      </c>
      <c r="D84" s="19" t="s">
        <v>177</v>
      </c>
      <c r="E84" s="23">
        <v>4</v>
      </c>
      <c r="F84" s="19" t="s">
        <v>595</v>
      </c>
      <c r="G84" s="19" t="s">
        <v>432</v>
      </c>
      <c r="H84" s="23"/>
      <c r="I84" s="23"/>
      <c r="J84" s="23" t="s">
        <v>403</v>
      </c>
      <c r="K84" s="23">
        <v>40</v>
      </c>
      <c r="L84" s="24">
        <f>$K84/INDEX('Indicator Master'!$N$4:$N$46,MATCH($A84,'Indicator Master'!$A$4:$A$46,0))*'Risk Bands (Config)'!$B$5</f>
        <v>100</v>
      </c>
      <c r="M84" s="23">
        <f>IF($K84=INDEX('Indicator Master'!$N$4:$N$46,MATCH($A84,'Indicator Master'!$A$4:$A$46,0)),1,0)</f>
        <v>1</v>
      </c>
      <c r="N84" s="25"/>
      <c r="O84" s="19" t="s">
        <v>596</v>
      </c>
      <c r="P84" s="19" t="s">
        <v>597</v>
      </c>
      <c r="Q84" s="19" t="s">
        <v>386</v>
      </c>
      <c r="R84" s="26" t="str">
        <f t="shared" si="2"/>
        <v>EWS-021|40</v>
      </c>
    </row>
    <row r="85" spans="1:18" ht="21.75" customHeight="1" x14ac:dyDescent="0.35">
      <c r="A85" s="23" t="s">
        <v>180</v>
      </c>
      <c r="B85" s="19" t="s">
        <v>181</v>
      </c>
      <c r="C85" s="23" t="s">
        <v>29</v>
      </c>
      <c r="D85" s="19" t="s">
        <v>183</v>
      </c>
      <c r="E85" s="23">
        <v>1</v>
      </c>
      <c r="F85" s="19" t="s">
        <v>598</v>
      </c>
      <c r="G85" s="19" t="s">
        <v>367</v>
      </c>
      <c r="H85" s="23"/>
      <c r="I85" s="23">
        <v>0</v>
      </c>
      <c r="J85" s="23" t="s">
        <v>445</v>
      </c>
      <c r="K85" s="23">
        <v>0</v>
      </c>
      <c r="L85" s="24">
        <f>$K85/INDEX('Indicator Master'!$N$4:$N$46,MATCH($A85,'Indicator Master'!$A$4:$A$46,0))*'Risk Bands (Config)'!$B$5</f>
        <v>0</v>
      </c>
      <c r="M85" s="23">
        <f>IF($K85=INDEX('Indicator Master'!$N$4:$N$46,MATCH($A85,'Indicator Master'!$A$4:$A$46,0)),1,0)</f>
        <v>0</v>
      </c>
      <c r="N85" s="25"/>
      <c r="O85" s="19" t="s">
        <v>599</v>
      </c>
      <c r="P85" s="19" t="s">
        <v>370</v>
      </c>
      <c r="Q85" s="19" t="s">
        <v>371</v>
      </c>
      <c r="R85" s="26" t="str">
        <f t="shared" si="2"/>
        <v>EWS-022|0</v>
      </c>
    </row>
    <row r="86" spans="1:18" ht="21.75" customHeight="1" x14ac:dyDescent="0.35">
      <c r="A86" s="23" t="s">
        <v>180</v>
      </c>
      <c r="B86" s="19" t="s">
        <v>181</v>
      </c>
      <c r="C86" s="23" t="s">
        <v>29</v>
      </c>
      <c r="D86" s="19" t="s">
        <v>183</v>
      </c>
      <c r="E86" s="23">
        <v>2</v>
      </c>
      <c r="F86" s="19" t="s">
        <v>600</v>
      </c>
      <c r="G86" s="19" t="s">
        <v>373</v>
      </c>
      <c r="H86" s="23">
        <v>0</v>
      </c>
      <c r="I86" s="23">
        <v>5</v>
      </c>
      <c r="J86" s="23" t="s">
        <v>448</v>
      </c>
      <c r="K86" s="23">
        <v>10</v>
      </c>
      <c r="L86" s="24">
        <f>$K86/INDEX('Indicator Master'!$N$4:$N$46,MATCH($A86,'Indicator Master'!$A$4:$A$46,0))*'Risk Bands (Config)'!$B$5</f>
        <v>25</v>
      </c>
      <c r="M86" s="23">
        <f>IF($K86=INDEX('Indicator Master'!$N$4:$N$46,MATCH($A86,'Indicator Master'!$A$4:$A$46,0)),1,0)</f>
        <v>0</v>
      </c>
      <c r="N86" s="25"/>
      <c r="O86" s="19" t="s">
        <v>601</v>
      </c>
      <c r="P86" s="19" t="s">
        <v>602</v>
      </c>
      <c r="Q86" s="19" t="s">
        <v>411</v>
      </c>
      <c r="R86" s="26" t="str">
        <f t="shared" si="2"/>
        <v>EWS-022|10</v>
      </c>
    </row>
    <row r="87" spans="1:18" ht="21.75" customHeight="1" x14ac:dyDescent="0.35">
      <c r="A87" s="23" t="s">
        <v>180</v>
      </c>
      <c r="B87" s="19" t="s">
        <v>181</v>
      </c>
      <c r="C87" s="23" t="s">
        <v>29</v>
      </c>
      <c r="D87" s="19" t="s">
        <v>183</v>
      </c>
      <c r="E87" s="23">
        <v>3</v>
      </c>
      <c r="F87" s="19" t="s">
        <v>603</v>
      </c>
      <c r="G87" s="19" t="s">
        <v>373</v>
      </c>
      <c r="H87" s="23">
        <v>5</v>
      </c>
      <c r="I87" s="23">
        <v>10</v>
      </c>
      <c r="J87" s="23" t="s">
        <v>448</v>
      </c>
      <c r="K87" s="23">
        <v>20</v>
      </c>
      <c r="L87" s="24">
        <f>$K87/INDEX('Indicator Master'!$N$4:$N$46,MATCH($A87,'Indicator Master'!$A$4:$A$46,0))*'Risk Bands (Config)'!$B$5</f>
        <v>50</v>
      </c>
      <c r="M87" s="23">
        <f>IF($K87=INDEX('Indicator Master'!$N$4:$N$46,MATCH($A87,'Indicator Master'!$A$4:$A$46,0)),1,0)</f>
        <v>0</v>
      </c>
      <c r="N87" s="25"/>
      <c r="O87" s="19" t="s">
        <v>604</v>
      </c>
      <c r="P87" s="19" t="s">
        <v>605</v>
      </c>
      <c r="Q87" s="19" t="s">
        <v>377</v>
      </c>
      <c r="R87" s="26" t="str">
        <f t="shared" si="2"/>
        <v>EWS-022|20</v>
      </c>
    </row>
    <row r="88" spans="1:18" ht="21.75" customHeight="1" x14ac:dyDescent="0.35">
      <c r="A88" s="23" t="s">
        <v>180</v>
      </c>
      <c r="B88" s="19" t="s">
        <v>181</v>
      </c>
      <c r="C88" s="23" t="s">
        <v>29</v>
      </c>
      <c r="D88" s="19" t="s">
        <v>183</v>
      </c>
      <c r="E88" s="23">
        <v>4</v>
      </c>
      <c r="F88" s="19" t="s">
        <v>606</v>
      </c>
      <c r="G88" s="19" t="s">
        <v>373</v>
      </c>
      <c r="H88" s="23">
        <v>10</v>
      </c>
      <c r="I88" s="23">
        <v>20</v>
      </c>
      <c r="J88" s="23" t="s">
        <v>448</v>
      </c>
      <c r="K88" s="23">
        <v>30</v>
      </c>
      <c r="L88" s="24">
        <f>$K88/INDEX('Indicator Master'!$N$4:$N$46,MATCH($A88,'Indicator Master'!$A$4:$A$46,0))*'Risk Bands (Config)'!$B$5</f>
        <v>75</v>
      </c>
      <c r="M88" s="23">
        <f>IF($K88=INDEX('Indicator Master'!$N$4:$N$46,MATCH($A88,'Indicator Master'!$A$4:$A$46,0)),1,0)</f>
        <v>0</v>
      </c>
      <c r="N88" s="25"/>
      <c r="O88" s="19" t="s">
        <v>607</v>
      </c>
      <c r="P88" s="19" t="s">
        <v>608</v>
      </c>
      <c r="Q88" s="19" t="s">
        <v>440</v>
      </c>
      <c r="R88" s="26" t="str">
        <f t="shared" si="2"/>
        <v>EWS-022|30</v>
      </c>
    </row>
    <row r="89" spans="1:18" ht="21.75" customHeight="1" x14ac:dyDescent="0.35">
      <c r="A89" s="23" t="s">
        <v>180</v>
      </c>
      <c r="B89" s="19" t="s">
        <v>181</v>
      </c>
      <c r="C89" s="23" t="s">
        <v>29</v>
      </c>
      <c r="D89" s="19" t="s">
        <v>183</v>
      </c>
      <c r="E89" s="23">
        <v>5</v>
      </c>
      <c r="F89" s="19" t="s">
        <v>454</v>
      </c>
      <c r="G89" s="19" t="s">
        <v>367</v>
      </c>
      <c r="H89" s="23">
        <v>20</v>
      </c>
      <c r="I89" s="23"/>
      <c r="J89" s="23" t="s">
        <v>416</v>
      </c>
      <c r="K89" s="23">
        <v>40</v>
      </c>
      <c r="L89" s="24">
        <f>$K89/INDEX('Indicator Master'!$N$4:$N$46,MATCH($A89,'Indicator Master'!$A$4:$A$46,0))*'Risk Bands (Config)'!$B$5</f>
        <v>100</v>
      </c>
      <c r="M89" s="23">
        <f>IF($K89=INDEX('Indicator Master'!$N$4:$N$46,MATCH($A89,'Indicator Master'!$A$4:$A$46,0)),1,0)</f>
        <v>1</v>
      </c>
      <c r="N89" s="25"/>
      <c r="O89" s="19" t="s">
        <v>609</v>
      </c>
      <c r="P89" s="19" t="s">
        <v>610</v>
      </c>
      <c r="Q89" s="19" t="s">
        <v>386</v>
      </c>
      <c r="R89" s="26" t="str">
        <f t="shared" si="2"/>
        <v>EWS-022|40</v>
      </c>
    </row>
    <row r="90" spans="1:18" ht="21.75" customHeight="1" x14ac:dyDescent="0.35">
      <c r="A90" s="23" t="s">
        <v>188</v>
      </c>
      <c r="B90" s="19" t="s">
        <v>189</v>
      </c>
      <c r="C90" s="23" t="s">
        <v>29</v>
      </c>
      <c r="D90" s="19" t="s">
        <v>191</v>
      </c>
      <c r="E90" s="23">
        <v>1</v>
      </c>
      <c r="F90" s="19" t="s">
        <v>598</v>
      </c>
      <c r="G90" s="19" t="s">
        <v>367</v>
      </c>
      <c r="H90" s="23"/>
      <c r="I90" s="23">
        <v>0</v>
      </c>
      <c r="J90" s="23" t="s">
        <v>445</v>
      </c>
      <c r="K90" s="23">
        <v>0</v>
      </c>
      <c r="L90" s="24">
        <f>$K90/INDEX('Indicator Master'!$N$4:$N$46,MATCH($A90,'Indicator Master'!$A$4:$A$46,0))*'Risk Bands (Config)'!$B$5</f>
        <v>0</v>
      </c>
      <c r="M90" s="23">
        <f>IF($K90=INDEX('Indicator Master'!$N$4:$N$46,MATCH($A90,'Indicator Master'!$A$4:$A$46,0)),1,0)</f>
        <v>0</v>
      </c>
      <c r="N90" s="25"/>
      <c r="O90" s="19" t="s">
        <v>611</v>
      </c>
      <c r="P90" s="19" t="s">
        <v>370</v>
      </c>
      <c r="Q90" s="19" t="s">
        <v>371</v>
      </c>
      <c r="R90" s="26" t="str">
        <f t="shared" si="2"/>
        <v>EWS-023|0</v>
      </c>
    </row>
    <row r="91" spans="1:18" ht="21.75" customHeight="1" x14ac:dyDescent="0.35">
      <c r="A91" s="23" t="s">
        <v>188</v>
      </c>
      <c r="B91" s="19" t="s">
        <v>189</v>
      </c>
      <c r="C91" s="23" t="s">
        <v>29</v>
      </c>
      <c r="D91" s="19" t="s">
        <v>191</v>
      </c>
      <c r="E91" s="23">
        <v>2</v>
      </c>
      <c r="F91" s="19" t="s">
        <v>600</v>
      </c>
      <c r="G91" s="19" t="s">
        <v>373</v>
      </c>
      <c r="H91" s="23">
        <v>0</v>
      </c>
      <c r="I91" s="23">
        <v>5</v>
      </c>
      <c r="J91" s="23" t="s">
        <v>448</v>
      </c>
      <c r="K91" s="23">
        <v>10</v>
      </c>
      <c r="L91" s="24">
        <f>$K91/INDEX('Indicator Master'!$N$4:$N$46,MATCH($A91,'Indicator Master'!$A$4:$A$46,0))*'Risk Bands (Config)'!$B$5</f>
        <v>25</v>
      </c>
      <c r="M91" s="23">
        <f>IF($K91=INDEX('Indicator Master'!$N$4:$N$46,MATCH($A91,'Indicator Master'!$A$4:$A$46,0)),1,0)</f>
        <v>0</v>
      </c>
      <c r="N91" s="25"/>
      <c r="O91" s="19" t="s">
        <v>612</v>
      </c>
      <c r="P91" s="19" t="s">
        <v>613</v>
      </c>
      <c r="Q91" s="19" t="s">
        <v>411</v>
      </c>
      <c r="R91" s="26" t="str">
        <f t="shared" si="2"/>
        <v>EWS-023|10</v>
      </c>
    </row>
    <row r="92" spans="1:18" ht="21.75" customHeight="1" x14ac:dyDescent="0.35">
      <c r="A92" s="23" t="s">
        <v>188</v>
      </c>
      <c r="B92" s="19" t="s">
        <v>189</v>
      </c>
      <c r="C92" s="23" t="s">
        <v>29</v>
      </c>
      <c r="D92" s="19" t="s">
        <v>191</v>
      </c>
      <c r="E92" s="23">
        <v>3</v>
      </c>
      <c r="F92" s="19" t="s">
        <v>603</v>
      </c>
      <c r="G92" s="19" t="s">
        <v>373</v>
      </c>
      <c r="H92" s="23">
        <v>5</v>
      </c>
      <c r="I92" s="23">
        <v>10</v>
      </c>
      <c r="J92" s="23" t="s">
        <v>448</v>
      </c>
      <c r="K92" s="23">
        <v>20</v>
      </c>
      <c r="L92" s="24">
        <f>$K92/INDEX('Indicator Master'!$N$4:$N$46,MATCH($A92,'Indicator Master'!$A$4:$A$46,0))*'Risk Bands (Config)'!$B$5</f>
        <v>50</v>
      </c>
      <c r="M92" s="23">
        <f>IF($K92=INDEX('Indicator Master'!$N$4:$N$46,MATCH($A92,'Indicator Master'!$A$4:$A$46,0)),1,0)</f>
        <v>0</v>
      </c>
      <c r="N92" s="25"/>
      <c r="O92" s="19" t="s">
        <v>614</v>
      </c>
      <c r="P92" s="19" t="s">
        <v>615</v>
      </c>
      <c r="Q92" s="19" t="s">
        <v>377</v>
      </c>
      <c r="R92" s="26" t="str">
        <f t="shared" si="2"/>
        <v>EWS-023|20</v>
      </c>
    </row>
    <row r="93" spans="1:18" ht="21.75" customHeight="1" x14ac:dyDescent="0.35">
      <c r="A93" s="23" t="s">
        <v>188</v>
      </c>
      <c r="B93" s="19" t="s">
        <v>189</v>
      </c>
      <c r="C93" s="23" t="s">
        <v>29</v>
      </c>
      <c r="D93" s="19" t="s">
        <v>191</v>
      </c>
      <c r="E93" s="23">
        <v>4</v>
      </c>
      <c r="F93" s="19" t="s">
        <v>606</v>
      </c>
      <c r="G93" s="19" t="s">
        <v>373</v>
      </c>
      <c r="H93" s="23">
        <v>10</v>
      </c>
      <c r="I93" s="23">
        <v>20</v>
      </c>
      <c r="J93" s="23" t="s">
        <v>448</v>
      </c>
      <c r="K93" s="23">
        <v>30</v>
      </c>
      <c r="L93" s="24">
        <f>$K93/INDEX('Indicator Master'!$N$4:$N$46,MATCH($A93,'Indicator Master'!$A$4:$A$46,0))*'Risk Bands (Config)'!$B$5</f>
        <v>75</v>
      </c>
      <c r="M93" s="23">
        <f>IF($K93=INDEX('Indicator Master'!$N$4:$N$46,MATCH($A93,'Indicator Master'!$A$4:$A$46,0)),1,0)</f>
        <v>0</v>
      </c>
      <c r="N93" s="25"/>
      <c r="O93" s="19" t="s">
        <v>616</v>
      </c>
      <c r="P93" s="19" t="s">
        <v>617</v>
      </c>
      <c r="Q93" s="19" t="s">
        <v>440</v>
      </c>
      <c r="R93" s="26" t="str">
        <f t="shared" si="2"/>
        <v>EWS-023|30</v>
      </c>
    </row>
    <row r="94" spans="1:18" ht="21.75" customHeight="1" x14ac:dyDescent="0.35">
      <c r="A94" s="23" t="s">
        <v>188</v>
      </c>
      <c r="B94" s="19" t="s">
        <v>189</v>
      </c>
      <c r="C94" s="23" t="s">
        <v>29</v>
      </c>
      <c r="D94" s="19" t="s">
        <v>191</v>
      </c>
      <c r="E94" s="23">
        <v>5</v>
      </c>
      <c r="F94" s="19" t="s">
        <v>454</v>
      </c>
      <c r="G94" s="19" t="s">
        <v>367</v>
      </c>
      <c r="H94" s="23">
        <v>20</v>
      </c>
      <c r="I94" s="23"/>
      <c r="J94" s="23" t="s">
        <v>416</v>
      </c>
      <c r="K94" s="23">
        <v>40</v>
      </c>
      <c r="L94" s="24">
        <f>$K94/INDEX('Indicator Master'!$N$4:$N$46,MATCH($A94,'Indicator Master'!$A$4:$A$46,0))*'Risk Bands (Config)'!$B$5</f>
        <v>100</v>
      </c>
      <c r="M94" s="23">
        <f>IF($K94=INDEX('Indicator Master'!$N$4:$N$46,MATCH($A94,'Indicator Master'!$A$4:$A$46,0)),1,0)</f>
        <v>1</v>
      </c>
      <c r="N94" s="25"/>
      <c r="O94" s="19" t="s">
        <v>618</v>
      </c>
      <c r="P94" s="19" t="s">
        <v>619</v>
      </c>
      <c r="Q94" s="19" t="s">
        <v>386</v>
      </c>
      <c r="R94" s="26" t="str">
        <f t="shared" si="2"/>
        <v>EWS-023|40</v>
      </c>
    </row>
    <row r="95" spans="1:18" ht="21.75" customHeight="1" x14ac:dyDescent="0.35">
      <c r="A95" s="23" t="s">
        <v>194</v>
      </c>
      <c r="B95" s="19" t="s">
        <v>195</v>
      </c>
      <c r="C95" s="23" t="s">
        <v>29</v>
      </c>
      <c r="D95" s="19" t="s">
        <v>197</v>
      </c>
      <c r="E95" s="23">
        <v>1</v>
      </c>
      <c r="F95" s="19" t="s">
        <v>598</v>
      </c>
      <c r="G95" s="19" t="s">
        <v>367</v>
      </c>
      <c r="H95" s="23"/>
      <c r="I95" s="23">
        <v>0</v>
      </c>
      <c r="J95" s="23" t="s">
        <v>445</v>
      </c>
      <c r="K95" s="23">
        <v>0</v>
      </c>
      <c r="L95" s="24">
        <f>$K95/INDEX('Indicator Master'!$N$4:$N$46,MATCH($A95,'Indicator Master'!$A$4:$A$46,0))*'Risk Bands (Config)'!$B$5</f>
        <v>0</v>
      </c>
      <c r="M95" s="23">
        <f>IF($K95=INDEX('Indicator Master'!$N$4:$N$46,MATCH($A95,'Indicator Master'!$A$4:$A$46,0)),1,0)</f>
        <v>0</v>
      </c>
      <c r="N95" s="25"/>
      <c r="O95" s="19" t="s">
        <v>620</v>
      </c>
      <c r="P95" s="19" t="s">
        <v>370</v>
      </c>
      <c r="Q95" s="19" t="s">
        <v>371</v>
      </c>
      <c r="R95" s="26" t="str">
        <f t="shared" si="2"/>
        <v>EWS-024|0</v>
      </c>
    </row>
    <row r="96" spans="1:18" ht="21.75" customHeight="1" x14ac:dyDescent="0.35">
      <c r="A96" s="23" t="s">
        <v>194</v>
      </c>
      <c r="B96" s="19" t="s">
        <v>195</v>
      </c>
      <c r="C96" s="23" t="s">
        <v>29</v>
      </c>
      <c r="D96" s="19" t="s">
        <v>197</v>
      </c>
      <c r="E96" s="23">
        <v>2</v>
      </c>
      <c r="F96" s="19" t="s">
        <v>621</v>
      </c>
      <c r="G96" s="19" t="s">
        <v>373</v>
      </c>
      <c r="H96" s="23">
        <v>0</v>
      </c>
      <c r="I96" s="23">
        <v>10</v>
      </c>
      <c r="J96" s="23" t="s">
        <v>448</v>
      </c>
      <c r="K96" s="23">
        <v>10</v>
      </c>
      <c r="L96" s="24">
        <f>$K96/INDEX('Indicator Master'!$N$4:$N$46,MATCH($A96,'Indicator Master'!$A$4:$A$46,0))*'Risk Bands (Config)'!$B$5</f>
        <v>25</v>
      </c>
      <c r="M96" s="23">
        <f>IF($K96=INDEX('Indicator Master'!$N$4:$N$46,MATCH($A96,'Indicator Master'!$A$4:$A$46,0)),1,0)</f>
        <v>0</v>
      </c>
      <c r="N96" s="25"/>
      <c r="O96" s="19" t="s">
        <v>622</v>
      </c>
      <c r="P96" s="19" t="s">
        <v>623</v>
      </c>
      <c r="Q96" s="19" t="s">
        <v>411</v>
      </c>
      <c r="R96" s="26" t="str">
        <f t="shared" si="2"/>
        <v>EWS-024|10</v>
      </c>
    </row>
    <row r="97" spans="1:18" ht="21.75" customHeight="1" x14ac:dyDescent="0.35">
      <c r="A97" s="23" t="s">
        <v>194</v>
      </c>
      <c r="B97" s="19" t="s">
        <v>195</v>
      </c>
      <c r="C97" s="23" t="s">
        <v>29</v>
      </c>
      <c r="D97" s="19" t="s">
        <v>197</v>
      </c>
      <c r="E97" s="23">
        <v>3</v>
      </c>
      <c r="F97" s="19" t="s">
        <v>624</v>
      </c>
      <c r="G97" s="19" t="s">
        <v>373</v>
      </c>
      <c r="H97" s="23">
        <v>10</v>
      </c>
      <c r="I97" s="23">
        <v>25</v>
      </c>
      <c r="J97" s="23" t="s">
        <v>448</v>
      </c>
      <c r="K97" s="23">
        <v>25</v>
      </c>
      <c r="L97" s="24">
        <f>$K97/INDEX('Indicator Master'!$N$4:$N$46,MATCH($A97,'Indicator Master'!$A$4:$A$46,0))*'Risk Bands (Config)'!$B$5</f>
        <v>62.5</v>
      </c>
      <c r="M97" s="23">
        <f>IF($K97=INDEX('Indicator Master'!$N$4:$N$46,MATCH($A97,'Indicator Master'!$A$4:$A$46,0)),1,0)</f>
        <v>0</v>
      </c>
      <c r="N97" s="25"/>
      <c r="O97" s="19" t="s">
        <v>625</v>
      </c>
      <c r="P97" s="19" t="s">
        <v>626</v>
      </c>
      <c r="Q97" s="19" t="s">
        <v>440</v>
      </c>
      <c r="R97" s="26" t="str">
        <f t="shared" si="2"/>
        <v>EWS-024|25</v>
      </c>
    </row>
    <row r="98" spans="1:18" ht="21.75" customHeight="1" x14ac:dyDescent="0.35">
      <c r="A98" s="23" t="s">
        <v>194</v>
      </c>
      <c r="B98" s="19" t="s">
        <v>195</v>
      </c>
      <c r="C98" s="23" t="s">
        <v>29</v>
      </c>
      <c r="D98" s="19" t="s">
        <v>197</v>
      </c>
      <c r="E98" s="23">
        <v>4</v>
      </c>
      <c r="F98" s="19" t="s">
        <v>627</v>
      </c>
      <c r="G98" s="19" t="s">
        <v>367</v>
      </c>
      <c r="H98" s="23">
        <v>25</v>
      </c>
      <c r="I98" s="23"/>
      <c r="J98" s="23" t="s">
        <v>416</v>
      </c>
      <c r="K98" s="23">
        <v>40</v>
      </c>
      <c r="L98" s="24">
        <f>$K98/INDEX('Indicator Master'!$N$4:$N$46,MATCH($A98,'Indicator Master'!$A$4:$A$46,0))*'Risk Bands (Config)'!$B$5</f>
        <v>100</v>
      </c>
      <c r="M98" s="23">
        <f>IF($K98=INDEX('Indicator Master'!$N$4:$N$46,MATCH($A98,'Indicator Master'!$A$4:$A$46,0)),1,0)</f>
        <v>1</v>
      </c>
      <c r="N98" s="25"/>
      <c r="O98" s="19" t="s">
        <v>628</v>
      </c>
      <c r="P98" s="19" t="s">
        <v>629</v>
      </c>
      <c r="Q98" s="19" t="s">
        <v>386</v>
      </c>
      <c r="R98" s="26" t="str">
        <f t="shared" si="2"/>
        <v>EWS-024|40</v>
      </c>
    </row>
    <row r="99" spans="1:18" ht="32.25" customHeight="1" x14ac:dyDescent="0.35">
      <c r="A99" s="23" t="s">
        <v>200</v>
      </c>
      <c r="B99" s="19" t="s">
        <v>201</v>
      </c>
      <c r="C99" s="23" t="s">
        <v>29</v>
      </c>
      <c r="D99" s="19" t="s">
        <v>204</v>
      </c>
      <c r="E99" s="23">
        <v>1</v>
      </c>
      <c r="F99" s="19" t="s">
        <v>630</v>
      </c>
      <c r="G99" s="19" t="s">
        <v>432</v>
      </c>
      <c r="H99" s="23"/>
      <c r="I99" s="23"/>
      <c r="J99" s="23" t="s">
        <v>403</v>
      </c>
      <c r="K99" s="23">
        <v>0</v>
      </c>
      <c r="L99" s="24">
        <f>$K99/INDEX('Indicator Master'!$N$4:$N$46,MATCH($A99,'Indicator Master'!$A$4:$A$46,0))*'Risk Bands (Config)'!$B$5</f>
        <v>0</v>
      </c>
      <c r="M99" s="23">
        <f>IF($K99=INDEX('Indicator Master'!$N$4:$N$46,MATCH($A99,'Indicator Master'!$A$4:$A$46,0)),1,0)</f>
        <v>0</v>
      </c>
      <c r="N99" s="25"/>
      <c r="O99" s="19" t="s">
        <v>631</v>
      </c>
      <c r="P99" s="19" t="s">
        <v>370</v>
      </c>
      <c r="Q99" s="19" t="s">
        <v>371</v>
      </c>
      <c r="R99" s="26" t="str">
        <f t="shared" si="2"/>
        <v>EWS-025|0</v>
      </c>
    </row>
    <row r="100" spans="1:18" ht="32.25" customHeight="1" x14ac:dyDescent="0.35">
      <c r="A100" s="23" t="s">
        <v>200</v>
      </c>
      <c r="B100" s="19" t="s">
        <v>201</v>
      </c>
      <c r="C100" s="23" t="s">
        <v>29</v>
      </c>
      <c r="D100" s="19" t="s">
        <v>204</v>
      </c>
      <c r="E100" s="23">
        <v>2</v>
      </c>
      <c r="F100" s="19" t="s">
        <v>632</v>
      </c>
      <c r="G100" s="19" t="s">
        <v>432</v>
      </c>
      <c r="H100" s="23"/>
      <c r="I100" s="23"/>
      <c r="J100" s="23" t="s">
        <v>403</v>
      </c>
      <c r="K100" s="23">
        <v>20</v>
      </c>
      <c r="L100" s="24">
        <f>$K100/INDEX('Indicator Master'!$N$4:$N$46,MATCH($A100,'Indicator Master'!$A$4:$A$46,0))*'Risk Bands (Config)'!$B$5</f>
        <v>50</v>
      </c>
      <c r="M100" s="23">
        <f>IF($K100=INDEX('Indicator Master'!$N$4:$N$46,MATCH($A100,'Indicator Master'!$A$4:$A$46,0)),1,0)</f>
        <v>0</v>
      </c>
      <c r="N100" s="25"/>
      <c r="O100" s="19" t="s">
        <v>633</v>
      </c>
      <c r="P100" s="19" t="s">
        <v>634</v>
      </c>
      <c r="Q100" s="19" t="s">
        <v>377</v>
      </c>
      <c r="R100" s="26" t="str">
        <f t="shared" si="2"/>
        <v>EWS-025|20</v>
      </c>
    </row>
    <row r="101" spans="1:18" ht="32.25" customHeight="1" x14ac:dyDescent="0.35">
      <c r="A101" s="23" t="s">
        <v>200</v>
      </c>
      <c r="B101" s="19" t="s">
        <v>201</v>
      </c>
      <c r="C101" s="23" t="s">
        <v>29</v>
      </c>
      <c r="D101" s="19" t="s">
        <v>204</v>
      </c>
      <c r="E101" s="23">
        <v>3</v>
      </c>
      <c r="F101" s="19" t="s">
        <v>635</v>
      </c>
      <c r="G101" s="19" t="s">
        <v>432</v>
      </c>
      <c r="H101" s="23"/>
      <c r="I101" s="23"/>
      <c r="J101" s="23" t="s">
        <v>403</v>
      </c>
      <c r="K101" s="23">
        <v>40</v>
      </c>
      <c r="L101" s="24">
        <f>$K101/INDEX('Indicator Master'!$N$4:$N$46,MATCH($A101,'Indicator Master'!$A$4:$A$46,0))*'Risk Bands (Config)'!$B$5</f>
        <v>100</v>
      </c>
      <c r="M101" s="23">
        <f>IF($K101=INDEX('Indicator Master'!$N$4:$N$46,MATCH($A101,'Indicator Master'!$A$4:$A$46,0)),1,0)</f>
        <v>1</v>
      </c>
      <c r="N101" s="25"/>
      <c r="O101" s="19" t="s">
        <v>636</v>
      </c>
      <c r="P101" s="19" t="s">
        <v>637</v>
      </c>
      <c r="Q101" s="19" t="s">
        <v>386</v>
      </c>
      <c r="R101" s="26" t="str">
        <f t="shared" ref="R101:R132" si="3">$A101&amp;"|"&amp;$K101</f>
        <v>EWS-025|40</v>
      </c>
    </row>
    <row r="102" spans="1:18" ht="21.75" customHeight="1" x14ac:dyDescent="0.35">
      <c r="A102" s="25" t="s">
        <v>207</v>
      </c>
      <c r="B102" s="19" t="s">
        <v>208</v>
      </c>
      <c r="C102" s="23" t="s">
        <v>29</v>
      </c>
      <c r="D102" s="19" t="s">
        <v>211</v>
      </c>
      <c r="E102" s="23">
        <v>1</v>
      </c>
      <c r="F102" s="19" t="s">
        <v>638</v>
      </c>
      <c r="G102" s="19" t="s">
        <v>392</v>
      </c>
      <c r="H102" s="23">
        <v>0</v>
      </c>
      <c r="I102" s="23">
        <v>0</v>
      </c>
      <c r="J102" s="23" t="s">
        <v>393</v>
      </c>
      <c r="K102" s="23">
        <v>0</v>
      </c>
      <c r="L102" s="24">
        <f>$K102/INDEX('Indicator Master'!$N$4:$N$46,MATCH($A102,'Indicator Master'!$A$4:$A$46,0))*'Risk Bands (Config)'!$B$5</f>
        <v>0</v>
      </c>
      <c r="M102" s="23">
        <f>IF($K102=INDEX('Indicator Master'!$N$4:$N$46,MATCH($A102,'Indicator Master'!$A$4:$A$46,0)),1,0)</f>
        <v>0</v>
      </c>
      <c r="N102" s="25"/>
      <c r="O102" s="19" t="s">
        <v>639</v>
      </c>
      <c r="P102" s="19" t="s">
        <v>370</v>
      </c>
      <c r="Q102" s="19" t="s">
        <v>371</v>
      </c>
      <c r="R102" s="26" t="str">
        <f t="shared" si="3"/>
        <v>EWS-026|0</v>
      </c>
    </row>
    <row r="103" spans="1:18" ht="21.75" customHeight="1" x14ac:dyDescent="0.35">
      <c r="A103" s="25" t="s">
        <v>207</v>
      </c>
      <c r="B103" s="19" t="s">
        <v>208</v>
      </c>
      <c r="C103" s="23" t="s">
        <v>29</v>
      </c>
      <c r="D103" s="19" t="s">
        <v>211</v>
      </c>
      <c r="E103" s="23">
        <v>2</v>
      </c>
      <c r="F103" s="19" t="s">
        <v>640</v>
      </c>
      <c r="G103" s="19" t="s">
        <v>392</v>
      </c>
      <c r="H103" s="23">
        <v>1</v>
      </c>
      <c r="I103" s="23">
        <v>1</v>
      </c>
      <c r="J103" s="23" t="s">
        <v>393</v>
      </c>
      <c r="K103" s="23">
        <v>10</v>
      </c>
      <c r="L103" s="24">
        <f>$K103/INDEX('Indicator Master'!$N$4:$N$46,MATCH($A103,'Indicator Master'!$A$4:$A$46,0))*'Risk Bands (Config)'!$B$5</f>
        <v>28.571428571428569</v>
      </c>
      <c r="M103" s="23">
        <f>IF($K103=INDEX('Indicator Master'!$N$4:$N$46,MATCH($A103,'Indicator Master'!$A$4:$A$46,0)),1,0)</f>
        <v>0</v>
      </c>
      <c r="N103" s="25"/>
      <c r="O103" s="19" t="s">
        <v>641</v>
      </c>
      <c r="P103" s="19" t="s">
        <v>642</v>
      </c>
      <c r="Q103" s="19" t="s">
        <v>411</v>
      </c>
      <c r="R103" s="26" t="str">
        <f t="shared" si="3"/>
        <v>EWS-026|10</v>
      </c>
    </row>
    <row r="104" spans="1:18" ht="32.25" customHeight="1" x14ac:dyDescent="0.35">
      <c r="A104" s="25" t="s">
        <v>207</v>
      </c>
      <c r="B104" s="19" t="s">
        <v>208</v>
      </c>
      <c r="C104" s="23" t="s">
        <v>29</v>
      </c>
      <c r="D104" s="19" t="s">
        <v>211</v>
      </c>
      <c r="E104" s="23">
        <v>3</v>
      </c>
      <c r="F104" s="19" t="s">
        <v>643</v>
      </c>
      <c r="G104" s="19" t="s">
        <v>392</v>
      </c>
      <c r="H104" s="23">
        <v>2</v>
      </c>
      <c r="I104" s="23">
        <v>2</v>
      </c>
      <c r="J104" s="23" t="s">
        <v>393</v>
      </c>
      <c r="K104" s="23">
        <v>20</v>
      </c>
      <c r="L104" s="24">
        <f>$K104/INDEX('Indicator Master'!$N$4:$N$46,MATCH($A104,'Indicator Master'!$A$4:$A$46,0))*'Risk Bands (Config)'!$B$5</f>
        <v>57.142857142857139</v>
      </c>
      <c r="M104" s="23">
        <f>IF($K104=INDEX('Indicator Master'!$N$4:$N$46,MATCH($A104,'Indicator Master'!$A$4:$A$46,0)),1,0)</f>
        <v>0</v>
      </c>
      <c r="N104" s="25"/>
      <c r="O104" s="19" t="s">
        <v>644</v>
      </c>
      <c r="P104" s="19" t="s">
        <v>645</v>
      </c>
      <c r="Q104" s="19" t="s">
        <v>377</v>
      </c>
      <c r="R104" s="26" t="str">
        <f t="shared" si="3"/>
        <v>EWS-026|20</v>
      </c>
    </row>
    <row r="105" spans="1:18" ht="53.25" customHeight="1" x14ac:dyDescent="0.35">
      <c r="A105" s="25" t="s">
        <v>207</v>
      </c>
      <c r="B105" s="19" t="s">
        <v>208</v>
      </c>
      <c r="C105" s="23" t="s">
        <v>29</v>
      </c>
      <c r="D105" s="19" t="s">
        <v>211</v>
      </c>
      <c r="E105" s="23">
        <v>4</v>
      </c>
      <c r="F105" s="19" t="s">
        <v>646</v>
      </c>
      <c r="G105" s="19" t="s">
        <v>397</v>
      </c>
      <c r="H105" s="23">
        <v>3</v>
      </c>
      <c r="I105" s="23"/>
      <c r="J105" s="23" t="s">
        <v>398</v>
      </c>
      <c r="K105" s="23">
        <v>35</v>
      </c>
      <c r="L105" s="24">
        <f>$K105/INDEX('Indicator Master'!$N$4:$N$46,MATCH($A105,'Indicator Master'!$A$4:$A$46,0))*'Risk Bands (Config)'!$B$5</f>
        <v>100</v>
      </c>
      <c r="M105" s="23">
        <f>IF($K105=INDEX('Indicator Master'!$N$4:$N$46,MATCH($A105,'Indicator Master'!$A$4:$A$46,0)),1,0)</f>
        <v>1</v>
      </c>
      <c r="N105" s="25" t="s">
        <v>417</v>
      </c>
      <c r="O105" s="19" t="s">
        <v>647</v>
      </c>
      <c r="P105" s="19" t="s">
        <v>648</v>
      </c>
      <c r="Q105" s="19" t="s">
        <v>534</v>
      </c>
      <c r="R105" s="26" t="str">
        <f t="shared" si="3"/>
        <v>EWS-026|35</v>
      </c>
    </row>
    <row r="106" spans="1:18" ht="21.75" customHeight="1" x14ac:dyDescent="0.35">
      <c r="A106" s="23" t="s">
        <v>214</v>
      </c>
      <c r="B106" s="19" t="s">
        <v>215</v>
      </c>
      <c r="C106" s="23" t="s">
        <v>29</v>
      </c>
      <c r="D106" s="19" t="s">
        <v>217</v>
      </c>
      <c r="E106" s="23">
        <v>1</v>
      </c>
      <c r="F106" s="19" t="s">
        <v>649</v>
      </c>
      <c r="G106" s="19" t="s">
        <v>432</v>
      </c>
      <c r="H106" s="23"/>
      <c r="I106" s="23"/>
      <c r="J106" s="23" t="s">
        <v>403</v>
      </c>
      <c r="K106" s="23">
        <v>0</v>
      </c>
      <c r="L106" s="24">
        <f>$K106/INDEX('Indicator Master'!$N$4:$N$46,MATCH($A106,'Indicator Master'!$A$4:$A$46,0))*'Risk Bands (Config)'!$B$5</f>
        <v>0</v>
      </c>
      <c r="M106" s="23">
        <f>IF($K106=INDEX('Indicator Master'!$N$4:$N$46,MATCH($A106,'Indicator Master'!$A$4:$A$46,0)),1,0)</f>
        <v>0</v>
      </c>
      <c r="N106" s="25"/>
      <c r="O106" s="19" t="s">
        <v>650</v>
      </c>
      <c r="P106" s="19" t="s">
        <v>370</v>
      </c>
      <c r="Q106" s="19" t="s">
        <v>371</v>
      </c>
      <c r="R106" s="26" t="str">
        <f t="shared" si="3"/>
        <v>EWS-027|0</v>
      </c>
    </row>
    <row r="107" spans="1:18" ht="21.75" customHeight="1" x14ac:dyDescent="0.35">
      <c r="A107" s="23" t="s">
        <v>214</v>
      </c>
      <c r="B107" s="19" t="s">
        <v>215</v>
      </c>
      <c r="C107" s="23" t="s">
        <v>29</v>
      </c>
      <c r="D107" s="19" t="s">
        <v>217</v>
      </c>
      <c r="E107" s="23">
        <v>2</v>
      </c>
      <c r="F107" s="19" t="s">
        <v>651</v>
      </c>
      <c r="G107" s="19" t="s">
        <v>432</v>
      </c>
      <c r="H107" s="23"/>
      <c r="I107" s="23"/>
      <c r="J107" s="23" t="s">
        <v>403</v>
      </c>
      <c r="K107" s="23">
        <v>15</v>
      </c>
      <c r="L107" s="24">
        <f>$K107/INDEX('Indicator Master'!$N$4:$N$46,MATCH($A107,'Indicator Master'!$A$4:$A$46,0))*'Risk Bands (Config)'!$B$5</f>
        <v>30</v>
      </c>
      <c r="M107" s="23">
        <f>IF($K107=INDEX('Indicator Master'!$N$4:$N$46,MATCH($A107,'Indicator Master'!$A$4:$A$46,0)),1,0)</f>
        <v>0</v>
      </c>
      <c r="N107" s="25"/>
      <c r="O107" s="19" t="s">
        <v>652</v>
      </c>
      <c r="P107" s="19" t="s">
        <v>653</v>
      </c>
      <c r="Q107" s="19" t="s">
        <v>411</v>
      </c>
      <c r="R107" s="26" t="str">
        <f t="shared" si="3"/>
        <v>EWS-027|15</v>
      </c>
    </row>
    <row r="108" spans="1:18" ht="21.75" customHeight="1" x14ac:dyDescent="0.35">
      <c r="A108" s="23" t="s">
        <v>214</v>
      </c>
      <c r="B108" s="19" t="s">
        <v>215</v>
      </c>
      <c r="C108" s="23" t="s">
        <v>29</v>
      </c>
      <c r="D108" s="19" t="s">
        <v>217</v>
      </c>
      <c r="E108" s="23">
        <v>3</v>
      </c>
      <c r="F108" s="19" t="s">
        <v>654</v>
      </c>
      <c r="G108" s="19" t="s">
        <v>432</v>
      </c>
      <c r="H108" s="23"/>
      <c r="I108" s="23"/>
      <c r="J108" s="23" t="s">
        <v>403</v>
      </c>
      <c r="K108" s="23">
        <v>30</v>
      </c>
      <c r="L108" s="24">
        <f>$K108/INDEX('Indicator Master'!$N$4:$N$46,MATCH($A108,'Indicator Master'!$A$4:$A$46,0))*'Risk Bands (Config)'!$B$5</f>
        <v>60</v>
      </c>
      <c r="M108" s="23">
        <f>IF($K108=INDEX('Indicator Master'!$N$4:$N$46,MATCH($A108,'Indicator Master'!$A$4:$A$46,0)),1,0)</f>
        <v>0</v>
      </c>
      <c r="N108" s="25"/>
      <c r="O108" s="19" t="s">
        <v>655</v>
      </c>
      <c r="P108" s="19" t="s">
        <v>656</v>
      </c>
      <c r="Q108" s="19" t="s">
        <v>377</v>
      </c>
      <c r="R108" s="26" t="str">
        <f t="shared" si="3"/>
        <v>EWS-027|30</v>
      </c>
    </row>
    <row r="109" spans="1:18" ht="21.75" customHeight="1" x14ac:dyDescent="0.35">
      <c r="A109" s="23" t="s">
        <v>214</v>
      </c>
      <c r="B109" s="19" t="s">
        <v>215</v>
      </c>
      <c r="C109" s="23" t="s">
        <v>29</v>
      </c>
      <c r="D109" s="19" t="s">
        <v>217</v>
      </c>
      <c r="E109" s="23">
        <v>4</v>
      </c>
      <c r="F109" s="19" t="s">
        <v>657</v>
      </c>
      <c r="G109" s="19" t="s">
        <v>432</v>
      </c>
      <c r="H109" s="23"/>
      <c r="I109" s="23"/>
      <c r="J109" s="23" t="s">
        <v>403</v>
      </c>
      <c r="K109" s="23">
        <v>50</v>
      </c>
      <c r="L109" s="24">
        <f>$K109/INDEX('Indicator Master'!$N$4:$N$46,MATCH($A109,'Indicator Master'!$A$4:$A$46,0))*'Risk Bands (Config)'!$B$5</f>
        <v>100</v>
      </c>
      <c r="M109" s="23">
        <f>IF($K109=INDEX('Indicator Master'!$N$4:$N$46,MATCH($A109,'Indicator Master'!$A$4:$A$46,0)),1,0)</f>
        <v>1</v>
      </c>
      <c r="N109" s="25"/>
      <c r="O109" s="19" t="s">
        <v>658</v>
      </c>
      <c r="P109" s="19" t="s">
        <v>659</v>
      </c>
      <c r="Q109" s="19" t="s">
        <v>660</v>
      </c>
      <c r="R109" s="26" t="str">
        <f t="shared" si="3"/>
        <v>EWS-027|50</v>
      </c>
    </row>
    <row r="110" spans="1:18" ht="32.25" customHeight="1" x14ac:dyDescent="0.35">
      <c r="A110" s="23" t="s">
        <v>222</v>
      </c>
      <c r="B110" s="19" t="s">
        <v>223</v>
      </c>
      <c r="C110" s="23" t="s">
        <v>29</v>
      </c>
      <c r="D110" s="19" t="s">
        <v>226</v>
      </c>
      <c r="E110" s="23">
        <v>1</v>
      </c>
      <c r="F110" s="19" t="s">
        <v>661</v>
      </c>
      <c r="G110" s="19" t="s">
        <v>392</v>
      </c>
      <c r="H110" s="23">
        <v>0</v>
      </c>
      <c r="I110" s="23">
        <v>0</v>
      </c>
      <c r="J110" s="23" t="s">
        <v>662</v>
      </c>
      <c r="K110" s="23">
        <v>0</v>
      </c>
      <c r="L110" s="24">
        <f>$K110/INDEX('Indicator Master'!$N$4:$N$46,MATCH($A110,'Indicator Master'!$A$4:$A$46,0))*'Risk Bands (Config)'!$B$5</f>
        <v>0</v>
      </c>
      <c r="M110" s="23">
        <f>IF($K110=INDEX('Indicator Master'!$N$4:$N$46,MATCH($A110,'Indicator Master'!$A$4:$A$46,0)),1,0)</f>
        <v>0</v>
      </c>
      <c r="N110" s="25"/>
      <c r="O110" s="19" t="s">
        <v>663</v>
      </c>
      <c r="P110" s="19" t="s">
        <v>370</v>
      </c>
      <c r="Q110" s="19" t="s">
        <v>371</v>
      </c>
      <c r="R110" s="26" t="str">
        <f t="shared" si="3"/>
        <v>EWS-028|0</v>
      </c>
    </row>
    <row r="111" spans="1:18" ht="32.25" customHeight="1" x14ac:dyDescent="0.35">
      <c r="A111" s="23" t="s">
        <v>222</v>
      </c>
      <c r="B111" s="19" t="s">
        <v>223</v>
      </c>
      <c r="C111" s="23" t="s">
        <v>29</v>
      </c>
      <c r="D111" s="19" t="s">
        <v>226</v>
      </c>
      <c r="E111" s="23">
        <v>2</v>
      </c>
      <c r="F111" s="19" t="s">
        <v>664</v>
      </c>
      <c r="G111" s="19" t="s">
        <v>665</v>
      </c>
      <c r="H111" s="23">
        <v>1</v>
      </c>
      <c r="I111" s="23"/>
      <c r="J111" s="23" t="s">
        <v>666</v>
      </c>
      <c r="K111" s="23">
        <v>20</v>
      </c>
      <c r="L111" s="24">
        <f>$K111/INDEX('Indicator Master'!$N$4:$N$46,MATCH($A111,'Indicator Master'!$A$4:$A$46,0))*'Risk Bands (Config)'!$B$5</f>
        <v>50</v>
      </c>
      <c r="M111" s="23">
        <f>IF($K111=INDEX('Indicator Master'!$N$4:$N$46,MATCH($A111,'Indicator Master'!$A$4:$A$46,0)),1,0)</f>
        <v>0</v>
      </c>
      <c r="N111" s="25"/>
      <c r="O111" s="19" t="s">
        <v>667</v>
      </c>
      <c r="P111" s="19" t="s">
        <v>668</v>
      </c>
      <c r="Q111" s="19" t="s">
        <v>377</v>
      </c>
      <c r="R111" s="26" t="str">
        <f t="shared" si="3"/>
        <v>EWS-028|20</v>
      </c>
    </row>
    <row r="112" spans="1:18" ht="32.25" customHeight="1" x14ac:dyDescent="0.35">
      <c r="A112" s="23" t="s">
        <v>222</v>
      </c>
      <c r="B112" s="19" t="s">
        <v>223</v>
      </c>
      <c r="C112" s="23" t="s">
        <v>29</v>
      </c>
      <c r="D112" s="19" t="s">
        <v>226</v>
      </c>
      <c r="E112" s="23">
        <v>3</v>
      </c>
      <c r="F112" s="19" t="s">
        <v>669</v>
      </c>
      <c r="G112" s="19" t="s">
        <v>665</v>
      </c>
      <c r="H112" s="23">
        <v>1</v>
      </c>
      <c r="I112" s="23"/>
      <c r="J112" s="23" t="s">
        <v>670</v>
      </c>
      <c r="K112" s="23">
        <v>40</v>
      </c>
      <c r="L112" s="24">
        <f>$K112/INDEX('Indicator Master'!$N$4:$N$46,MATCH($A112,'Indicator Master'!$A$4:$A$46,0))*'Risk Bands (Config)'!$B$5</f>
        <v>100</v>
      </c>
      <c r="M112" s="23">
        <f>IF($K112=INDEX('Indicator Master'!$N$4:$N$46,MATCH($A112,'Indicator Master'!$A$4:$A$46,0)),1,0)</f>
        <v>1</v>
      </c>
      <c r="N112" s="25"/>
      <c r="O112" s="19" t="s">
        <v>671</v>
      </c>
      <c r="P112" s="19" t="s">
        <v>672</v>
      </c>
      <c r="Q112" s="19" t="s">
        <v>673</v>
      </c>
      <c r="R112" s="26" t="str">
        <f t="shared" si="3"/>
        <v>EWS-028|40</v>
      </c>
    </row>
    <row r="113" spans="1:18" ht="21.75" customHeight="1" x14ac:dyDescent="0.35">
      <c r="A113" s="23" t="s">
        <v>230</v>
      </c>
      <c r="B113" s="19" t="s">
        <v>231</v>
      </c>
      <c r="C113" s="23" t="s">
        <v>29</v>
      </c>
      <c r="D113" s="19" t="s">
        <v>234</v>
      </c>
      <c r="E113" s="23">
        <v>1</v>
      </c>
      <c r="F113" s="19" t="s">
        <v>674</v>
      </c>
      <c r="G113" s="19" t="s">
        <v>432</v>
      </c>
      <c r="H113" s="23"/>
      <c r="I113" s="23"/>
      <c r="J113" s="23" t="s">
        <v>403</v>
      </c>
      <c r="K113" s="23">
        <v>0</v>
      </c>
      <c r="L113" s="24">
        <f>$K113/INDEX('Indicator Master'!$N$4:$N$46,MATCH($A113,'Indicator Master'!$A$4:$A$46,0))*'Risk Bands (Config)'!$B$5</f>
        <v>0</v>
      </c>
      <c r="M113" s="23">
        <f>IF($K113=INDEX('Indicator Master'!$N$4:$N$46,MATCH($A113,'Indicator Master'!$A$4:$A$46,0)),1,0)</f>
        <v>0</v>
      </c>
      <c r="N113" s="25"/>
      <c r="O113" s="19" t="s">
        <v>675</v>
      </c>
      <c r="P113" s="19" t="s">
        <v>370</v>
      </c>
      <c r="Q113" s="19" t="s">
        <v>371</v>
      </c>
      <c r="R113" s="26" t="str">
        <f t="shared" si="3"/>
        <v>EWS-029|0</v>
      </c>
    </row>
    <row r="114" spans="1:18" ht="21.75" customHeight="1" x14ac:dyDescent="0.35">
      <c r="A114" s="23" t="s">
        <v>230</v>
      </c>
      <c r="B114" s="19" t="s">
        <v>231</v>
      </c>
      <c r="C114" s="23" t="s">
        <v>29</v>
      </c>
      <c r="D114" s="19" t="s">
        <v>234</v>
      </c>
      <c r="E114" s="23">
        <v>2</v>
      </c>
      <c r="F114" s="19" t="s">
        <v>676</v>
      </c>
      <c r="G114" s="19" t="s">
        <v>432</v>
      </c>
      <c r="H114" s="23"/>
      <c r="I114" s="23"/>
      <c r="J114" s="23" t="s">
        <v>403</v>
      </c>
      <c r="K114" s="23">
        <v>10</v>
      </c>
      <c r="L114" s="24">
        <f>$K114/INDEX('Indicator Master'!$N$4:$N$46,MATCH($A114,'Indicator Master'!$A$4:$A$46,0))*'Risk Bands (Config)'!$B$5</f>
        <v>25</v>
      </c>
      <c r="M114" s="23">
        <f>IF($K114=INDEX('Indicator Master'!$N$4:$N$46,MATCH($A114,'Indicator Master'!$A$4:$A$46,0)),1,0)</f>
        <v>0</v>
      </c>
      <c r="N114" s="25"/>
      <c r="O114" s="19" t="s">
        <v>677</v>
      </c>
      <c r="P114" s="19" t="s">
        <v>678</v>
      </c>
      <c r="Q114" s="19" t="s">
        <v>411</v>
      </c>
      <c r="R114" s="26" t="str">
        <f t="shared" si="3"/>
        <v>EWS-029|10</v>
      </c>
    </row>
    <row r="115" spans="1:18" ht="21.75" customHeight="1" x14ac:dyDescent="0.35">
      <c r="A115" s="23" t="s">
        <v>230</v>
      </c>
      <c r="B115" s="19" t="s">
        <v>231</v>
      </c>
      <c r="C115" s="23" t="s">
        <v>29</v>
      </c>
      <c r="D115" s="19" t="s">
        <v>234</v>
      </c>
      <c r="E115" s="23">
        <v>3</v>
      </c>
      <c r="F115" s="19" t="s">
        <v>679</v>
      </c>
      <c r="G115" s="19" t="s">
        <v>432</v>
      </c>
      <c r="H115" s="23"/>
      <c r="I115" s="23"/>
      <c r="J115" s="23" t="s">
        <v>403</v>
      </c>
      <c r="K115" s="23">
        <v>25</v>
      </c>
      <c r="L115" s="24">
        <f>$K115/INDEX('Indicator Master'!$N$4:$N$46,MATCH($A115,'Indicator Master'!$A$4:$A$46,0))*'Risk Bands (Config)'!$B$5</f>
        <v>62.5</v>
      </c>
      <c r="M115" s="23">
        <f>IF($K115=INDEX('Indicator Master'!$N$4:$N$46,MATCH($A115,'Indicator Master'!$A$4:$A$46,0)),1,0)</f>
        <v>0</v>
      </c>
      <c r="N115" s="25"/>
      <c r="O115" s="19" t="s">
        <v>680</v>
      </c>
      <c r="P115" s="19" t="s">
        <v>681</v>
      </c>
      <c r="Q115" s="19" t="s">
        <v>381</v>
      </c>
      <c r="R115" s="26" t="str">
        <f t="shared" si="3"/>
        <v>EWS-029|25</v>
      </c>
    </row>
    <row r="116" spans="1:18" ht="21.75" customHeight="1" x14ac:dyDescent="0.35">
      <c r="A116" s="23" t="s">
        <v>230</v>
      </c>
      <c r="B116" s="19" t="s">
        <v>231</v>
      </c>
      <c r="C116" s="23" t="s">
        <v>29</v>
      </c>
      <c r="D116" s="19" t="s">
        <v>234</v>
      </c>
      <c r="E116" s="23">
        <v>4</v>
      </c>
      <c r="F116" s="19" t="s">
        <v>682</v>
      </c>
      <c r="G116" s="19" t="s">
        <v>432</v>
      </c>
      <c r="H116" s="23"/>
      <c r="I116" s="23"/>
      <c r="J116" s="23" t="s">
        <v>403</v>
      </c>
      <c r="K116" s="23">
        <v>40</v>
      </c>
      <c r="L116" s="24">
        <f>$K116/INDEX('Indicator Master'!$N$4:$N$46,MATCH($A116,'Indicator Master'!$A$4:$A$46,0))*'Risk Bands (Config)'!$B$5</f>
        <v>100</v>
      </c>
      <c r="M116" s="23">
        <f>IF($K116=INDEX('Indicator Master'!$N$4:$N$46,MATCH($A116,'Indicator Master'!$A$4:$A$46,0)),1,0)</f>
        <v>1</v>
      </c>
      <c r="N116" s="25"/>
      <c r="O116" s="19" t="s">
        <v>683</v>
      </c>
      <c r="P116" s="19" t="s">
        <v>684</v>
      </c>
      <c r="Q116" s="19" t="s">
        <v>386</v>
      </c>
      <c r="R116" s="26" t="str">
        <f t="shared" si="3"/>
        <v>EWS-029|40</v>
      </c>
    </row>
    <row r="117" spans="1:18" ht="21.75" customHeight="1" x14ac:dyDescent="0.35">
      <c r="A117" s="23" t="s">
        <v>237</v>
      </c>
      <c r="B117" s="19" t="s">
        <v>238</v>
      </c>
      <c r="C117" s="23" t="s">
        <v>29</v>
      </c>
      <c r="D117" s="19" t="s">
        <v>241</v>
      </c>
      <c r="E117" s="23">
        <v>1</v>
      </c>
      <c r="F117" s="19" t="s">
        <v>598</v>
      </c>
      <c r="G117" s="19" t="s">
        <v>367</v>
      </c>
      <c r="H117" s="23"/>
      <c r="I117" s="23">
        <v>0</v>
      </c>
      <c r="J117" s="23" t="s">
        <v>445</v>
      </c>
      <c r="K117" s="23">
        <v>0</v>
      </c>
      <c r="L117" s="24">
        <f>$K117/INDEX('Indicator Master'!$N$4:$N$46,MATCH($A117,'Indicator Master'!$A$4:$A$46,0))*'Risk Bands (Config)'!$B$5</f>
        <v>0</v>
      </c>
      <c r="M117" s="23">
        <f>IF($K117=INDEX('Indicator Master'!$N$4:$N$46,MATCH($A117,'Indicator Master'!$A$4:$A$46,0)),1,0)</f>
        <v>0</v>
      </c>
      <c r="N117" s="25"/>
      <c r="O117" s="19" t="s">
        <v>685</v>
      </c>
      <c r="P117" s="19" t="s">
        <v>370</v>
      </c>
      <c r="Q117" s="19" t="s">
        <v>371</v>
      </c>
      <c r="R117" s="26" t="str">
        <f t="shared" si="3"/>
        <v>EWS-030|0</v>
      </c>
    </row>
    <row r="118" spans="1:18" ht="21.75" customHeight="1" x14ac:dyDescent="0.35">
      <c r="A118" s="23" t="s">
        <v>237</v>
      </c>
      <c r="B118" s="19" t="s">
        <v>238</v>
      </c>
      <c r="C118" s="23" t="s">
        <v>29</v>
      </c>
      <c r="D118" s="19" t="s">
        <v>241</v>
      </c>
      <c r="E118" s="23">
        <v>2</v>
      </c>
      <c r="F118" s="19" t="s">
        <v>686</v>
      </c>
      <c r="G118" s="19" t="s">
        <v>373</v>
      </c>
      <c r="H118" s="23">
        <v>0</v>
      </c>
      <c r="I118" s="23">
        <v>5</v>
      </c>
      <c r="J118" s="23" t="s">
        <v>448</v>
      </c>
      <c r="K118" s="23">
        <v>10</v>
      </c>
      <c r="L118" s="24">
        <f>$K118/INDEX('Indicator Master'!$N$4:$N$46,MATCH($A118,'Indicator Master'!$A$4:$A$46,0))*'Risk Bands (Config)'!$B$5</f>
        <v>25</v>
      </c>
      <c r="M118" s="23">
        <f>IF($K118=INDEX('Indicator Master'!$N$4:$N$46,MATCH($A118,'Indicator Master'!$A$4:$A$46,0)),1,0)</f>
        <v>0</v>
      </c>
      <c r="N118" s="25"/>
      <c r="O118" s="19" t="s">
        <v>687</v>
      </c>
      <c r="P118" s="19" t="s">
        <v>688</v>
      </c>
      <c r="Q118" s="19" t="s">
        <v>411</v>
      </c>
      <c r="R118" s="26" t="str">
        <f t="shared" si="3"/>
        <v>EWS-030|10</v>
      </c>
    </row>
    <row r="119" spans="1:18" ht="21.75" customHeight="1" x14ac:dyDescent="0.35">
      <c r="A119" s="23" t="s">
        <v>237</v>
      </c>
      <c r="B119" s="19" t="s">
        <v>238</v>
      </c>
      <c r="C119" s="23" t="s">
        <v>29</v>
      </c>
      <c r="D119" s="19" t="s">
        <v>241</v>
      </c>
      <c r="E119" s="23">
        <v>3</v>
      </c>
      <c r="F119" s="19" t="s">
        <v>689</v>
      </c>
      <c r="G119" s="19" t="s">
        <v>373</v>
      </c>
      <c r="H119" s="23">
        <v>5</v>
      </c>
      <c r="I119" s="23">
        <v>10</v>
      </c>
      <c r="J119" s="23" t="s">
        <v>448</v>
      </c>
      <c r="K119" s="23">
        <v>25</v>
      </c>
      <c r="L119" s="24">
        <f>$K119/INDEX('Indicator Master'!$N$4:$N$46,MATCH($A119,'Indicator Master'!$A$4:$A$46,0))*'Risk Bands (Config)'!$B$5</f>
        <v>62.5</v>
      </c>
      <c r="M119" s="23">
        <f>IF($K119=INDEX('Indicator Master'!$N$4:$N$46,MATCH($A119,'Indicator Master'!$A$4:$A$46,0)),1,0)</f>
        <v>0</v>
      </c>
      <c r="N119" s="25"/>
      <c r="O119" s="19" t="s">
        <v>690</v>
      </c>
      <c r="P119" s="19" t="s">
        <v>691</v>
      </c>
      <c r="Q119" s="19" t="s">
        <v>381</v>
      </c>
      <c r="R119" s="26" t="str">
        <f t="shared" si="3"/>
        <v>EWS-030|25</v>
      </c>
    </row>
    <row r="120" spans="1:18" ht="21.75" customHeight="1" x14ac:dyDescent="0.35">
      <c r="A120" s="23" t="s">
        <v>237</v>
      </c>
      <c r="B120" s="19" t="s">
        <v>238</v>
      </c>
      <c r="C120" s="23" t="s">
        <v>29</v>
      </c>
      <c r="D120" s="19" t="s">
        <v>241</v>
      </c>
      <c r="E120" s="23">
        <v>4</v>
      </c>
      <c r="F120" s="19" t="s">
        <v>692</v>
      </c>
      <c r="G120" s="19" t="s">
        <v>367</v>
      </c>
      <c r="H120" s="23">
        <v>10</v>
      </c>
      <c r="I120" s="23"/>
      <c r="J120" s="23" t="s">
        <v>416</v>
      </c>
      <c r="K120" s="23">
        <v>40</v>
      </c>
      <c r="L120" s="24">
        <f>$K120/INDEX('Indicator Master'!$N$4:$N$46,MATCH($A120,'Indicator Master'!$A$4:$A$46,0))*'Risk Bands (Config)'!$B$5</f>
        <v>100</v>
      </c>
      <c r="M120" s="23">
        <f>IF($K120=INDEX('Indicator Master'!$N$4:$N$46,MATCH($A120,'Indicator Master'!$A$4:$A$46,0)),1,0)</f>
        <v>1</v>
      </c>
      <c r="N120" s="25"/>
      <c r="O120" s="19" t="s">
        <v>693</v>
      </c>
      <c r="P120" s="19" t="s">
        <v>694</v>
      </c>
      <c r="Q120" s="19" t="s">
        <v>386</v>
      </c>
      <c r="R120" s="26" t="str">
        <f t="shared" si="3"/>
        <v>EWS-030|40</v>
      </c>
    </row>
    <row r="121" spans="1:18" ht="32.25" customHeight="1" x14ac:dyDescent="0.35">
      <c r="A121" s="23" t="s">
        <v>246</v>
      </c>
      <c r="B121" s="19" t="s">
        <v>247</v>
      </c>
      <c r="C121" s="23" t="s">
        <v>29</v>
      </c>
      <c r="D121" s="19" t="s">
        <v>250</v>
      </c>
      <c r="E121" s="23">
        <v>1</v>
      </c>
      <c r="F121" s="19" t="s">
        <v>695</v>
      </c>
      <c r="G121" s="19" t="s">
        <v>432</v>
      </c>
      <c r="H121" s="23"/>
      <c r="I121" s="23"/>
      <c r="J121" s="23" t="s">
        <v>403</v>
      </c>
      <c r="K121" s="23">
        <v>0</v>
      </c>
      <c r="L121" s="24">
        <f>$K121/INDEX('Indicator Master'!$N$4:$N$46,MATCH($A121,'Indicator Master'!$A$4:$A$46,0))*'Risk Bands (Config)'!$B$5</f>
        <v>0</v>
      </c>
      <c r="M121" s="23">
        <f>IF($K121=INDEX('Indicator Master'!$N$4:$N$46,MATCH($A121,'Indicator Master'!$A$4:$A$46,0)),1,0)</f>
        <v>0</v>
      </c>
      <c r="N121" s="25"/>
      <c r="O121" s="19" t="s">
        <v>696</v>
      </c>
      <c r="P121" s="19" t="s">
        <v>370</v>
      </c>
      <c r="Q121" s="19" t="s">
        <v>371</v>
      </c>
      <c r="R121" s="26" t="str">
        <f t="shared" si="3"/>
        <v>EWS-031|0</v>
      </c>
    </row>
    <row r="122" spans="1:18" ht="32.25" customHeight="1" x14ac:dyDescent="0.35">
      <c r="A122" s="23" t="s">
        <v>246</v>
      </c>
      <c r="B122" s="19" t="s">
        <v>247</v>
      </c>
      <c r="C122" s="23" t="s">
        <v>29</v>
      </c>
      <c r="D122" s="19" t="s">
        <v>250</v>
      </c>
      <c r="E122" s="23">
        <v>2</v>
      </c>
      <c r="F122" s="19" t="s">
        <v>697</v>
      </c>
      <c r="G122" s="19" t="s">
        <v>432</v>
      </c>
      <c r="H122" s="23"/>
      <c r="I122" s="23"/>
      <c r="J122" s="23" t="s">
        <v>403</v>
      </c>
      <c r="K122" s="23">
        <v>10</v>
      </c>
      <c r="L122" s="24">
        <f>$K122/INDEX('Indicator Master'!$N$4:$N$46,MATCH($A122,'Indicator Master'!$A$4:$A$46,0))*'Risk Bands (Config)'!$B$5</f>
        <v>20</v>
      </c>
      <c r="M122" s="23">
        <f>IF($K122=INDEX('Indicator Master'!$N$4:$N$46,MATCH($A122,'Indicator Master'!$A$4:$A$46,0)),1,0)</f>
        <v>0</v>
      </c>
      <c r="N122" s="25"/>
      <c r="O122" s="19" t="s">
        <v>698</v>
      </c>
      <c r="P122" s="19" t="s">
        <v>699</v>
      </c>
      <c r="Q122" s="19" t="s">
        <v>411</v>
      </c>
      <c r="R122" s="26" t="str">
        <f t="shared" si="3"/>
        <v>EWS-031|10</v>
      </c>
    </row>
    <row r="123" spans="1:18" ht="32.25" customHeight="1" x14ac:dyDescent="0.35">
      <c r="A123" s="23" t="s">
        <v>246</v>
      </c>
      <c r="B123" s="19" t="s">
        <v>247</v>
      </c>
      <c r="C123" s="23" t="s">
        <v>29</v>
      </c>
      <c r="D123" s="19" t="s">
        <v>250</v>
      </c>
      <c r="E123" s="23">
        <v>3</v>
      </c>
      <c r="F123" s="19" t="s">
        <v>700</v>
      </c>
      <c r="G123" s="19" t="s">
        <v>432</v>
      </c>
      <c r="H123" s="23"/>
      <c r="I123" s="23"/>
      <c r="J123" s="23" t="s">
        <v>403</v>
      </c>
      <c r="K123" s="23">
        <v>25</v>
      </c>
      <c r="L123" s="24">
        <f>$K123/INDEX('Indicator Master'!$N$4:$N$46,MATCH($A123,'Indicator Master'!$A$4:$A$46,0))*'Risk Bands (Config)'!$B$5</f>
        <v>50</v>
      </c>
      <c r="M123" s="23">
        <f>IF($K123=INDEX('Indicator Master'!$N$4:$N$46,MATCH($A123,'Indicator Master'!$A$4:$A$46,0)),1,0)</f>
        <v>0</v>
      </c>
      <c r="N123" s="25"/>
      <c r="O123" s="19" t="s">
        <v>701</v>
      </c>
      <c r="P123" s="19" t="s">
        <v>702</v>
      </c>
      <c r="Q123" s="19" t="s">
        <v>377</v>
      </c>
      <c r="R123" s="26" t="str">
        <f t="shared" si="3"/>
        <v>EWS-031|25</v>
      </c>
    </row>
    <row r="124" spans="1:18" ht="32.25" customHeight="1" x14ac:dyDescent="0.35">
      <c r="A124" s="23" t="s">
        <v>246</v>
      </c>
      <c r="B124" s="19" t="s">
        <v>247</v>
      </c>
      <c r="C124" s="23" t="s">
        <v>29</v>
      </c>
      <c r="D124" s="19" t="s">
        <v>250</v>
      </c>
      <c r="E124" s="23">
        <v>4</v>
      </c>
      <c r="F124" s="19" t="s">
        <v>703</v>
      </c>
      <c r="G124" s="19" t="s">
        <v>432</v>
      </c>
      <c r="H124" s="23"/>
      <c r="I124" s="23"/>
      <c r="J124" s="23" t="s">
        <v>403</v>
      </c>
      <c r="K124" s="23">
        <v>50</v>
      </c>
      <c r="L124" s="24">
        <f>$K124/INDEX('Indicator Master'!$N$4:$N$46,MATCH($A124,'Indicator Master'!$A$4:$A$46,0))*'Risk Bands (Config)'!$B$5</f>
        <v>100</v>
      </c>
      <c r="M124" s="23">
        <f>IF($K124=INDEX('Indicator Master'!$N$4:$N$46,MATCH($A124,'Indicator Master'!$A$4:$A$46,0)),1,0)</f>
        <v>1</v>
      </c>
      <c r="N124" s="25"/>
      <c r="O124" s="19" t="s">
        <v>704</v>
      </c>
      <c r="P124" s="19" t="s">
        <v>705</v>
      </c>
      <c r="Q124" s="19" t="s">
        <v>386</v>
      </c>
      <c r="R124" s="26" t="str">
        <f t="shared" si="3"/>
        <v>EWS-031|50</v>
      </c>
    </row>
    <row r="125" spans="1:18" ht="21.75" customHeight="1" x14ac:dyDescent="0.35">
      <c r="A125" s="25" t="s">
        <v>255</v>
      </c>
      <c r="B125" s="19" t="s">
        <v>256</v>
      </c>
      <c r="C125" s="23" t="s">
        <v>29</v>
      </c>
      <c r="D125" s="19" t="s">
        <v>258</v>
      </c>
      <c r="E125" s="23">
        <v>1</v>
      </c>
      <c r="F125" s="19" t="s">
        <v>706</v>
      </c>
      <c r="G125" s="19" t="s">
        <v>432</v>
      </c>
      <c r="H125" s="23"/>
      <c r="I125" s="23"/>
      <c r="J125" s="23" t="s">
        <v>403</v>
      </c>
      <c r="K125" s="23">
        <v>0</v>
      </c>
      <c r="L125" s="24">
        <f>$K125/INDEX('Indicator Master'!$N$4:$N$46,MATCH($A125,'Indicator Master'!$A$4:$A$46,0))*'Risk Bands (Config)'!$B$5</f>
        <v>0</v>
      </c>
      <c r="M125" s="23">
        <f>IF($K125=INDEX('Indicator Master'!$N$4:$N$46,MATCH($A125,'Indicator Master'!$A$4:$A$46,0)),1,0)</f>
        <v>0</v>
      </c>
      <c r="N125" s="25"/>
      <c r="O125" s="19" t="s">
        <v>707</v>
      </c>
      <c r="P125" s="19" t="s">
        <v>370</v>
      </c>
      <c r="Q125" s="19" t="s">
        <v>371</v>
      </c>
      <c r="R125" s="26" t="str">
        <f t="shared" si="3"/>
        <v>EWS-032|0</v>
      </c>
    </row>
    <row r="126" spans="1:18" ht="21.75" customHeight="1" x14ac:dyDescent="0.35">
      <c r="A126" s="25" t="s">
        <v>255</v>
      </c>
      <c r="B126" s="19" t="s">
        <v>256</v>
      </c>
      <c r="C126" s="23" t="s">
        <v>29</v>
      </c>
      <c r="D126" s="19" t="s">
        <v>258</v>
      </c>
      <c r="E126" s="23">
        <v>2</v>
      </c>
      <c r="F126" s="19" t="s">
        <v>708</v>
      </c>
      <c r="G126" s="19" t="s">
        <v>432</v>
      </c>
      <c r="H126" s="23"/>
      <c r="I126" s="23"/>
      <c r="J126" s="23" t="s">
        <v>403</v>
      </c>
      <c r="K126" s="23">
        <v>10</v>
      </c>
      <c r="L126" s="24">
        <f>$K126/INDEX('Indicator Master'!$N$4:$N$46,MATCH($A126,'Indicator Master'!$A$4:$A$46,0))*'Risk Bands (Config)'!$B$5</f>
        <v>25</v>
      </c>
      <c r="M126" s="23">
        <f>IF($K126=INDEX('Indicator Master'!$N$4:$N$46,MATCH($A126,'Indicator Master'!$A$4:$A$46,0)),1,0)</f>
        <v>0</v>
      </c>
      <c r="N126" s="25"/>
      <c r="O126" s="19" t="s">
        <v>709</v>
      </c>
      <c r="P126" s="19" t="s">
        <v>710</v>
      </c>
      <c r="Q126" s="19" t="s">
        <v>411</v>
      </c>
      <c r="R126" s="26" t="str">
        <f t="shared" si="3"/>
        <v>EWS-032|10</v>
      </c>
    </row>
    <row r="127" spans="1:18" ht="21.75" customHeight="1" x14ac:dyDescent="0.35">
      <c r="A127" s="25" t="s">
        <v>255</v>
      </c>
      <c r="B127" s="19" t="s">
        <v>256</v>
      </c>
      <c r="C127" s="23" t="s">
        <v>29</v>
      </c>
      <c r="D127" s="19" t="s">
        <v>258</v>
      </c>
      <c r="E127" s="23">
        <v>3</v>
      </c>
      <c r="F127" s="19" t="s">
        <v>711</v>
      </c>
      <c r="G127" s="19" t="s">
        <v>432</v>
      </c>
      <c r="H127" s="23"/>
      <c r="I127" s="23"/>
      <c r="J127" s="23" t="s">
        <v>403</v>
      </c>
      <c r="K127" s="23">
        <v>25</v>
      </c>
      <c r="L127" s="24">
        <f>$K127/INDEX('Indicator Master'!$N$4:$N$46,MATCH($A127,'Indicator Master'!$A$4:$A$46,0))*'Risk Bands (Config)'!$B$5</f>
        <v>62.5</v>
      </c>
      <c r="M127" s="23">
        <f>IF($K127=INDEX('Indicator Master'!$N$4:$N$46,MATCH($A127,'Indicator Master'!$A$4:$A$46,0)),1,0)</f>
        <v>0</v>
      </c>
      <c r="N127" s="25"/>
      <c r="O127" s="19" t="s">
        <v>712</v>
      </c>
      <c r="P127" s="19" t="s">
        <v>713</v>
      </c>
      <c r="Q127" s="19" t="s">
        <v>714</v>
      </c>
      <c r="R127" s="26" t="str">
        <f t="shared" si="3"/>
        <v>EWS-032|25</v>
      </c>
    </row>
    <row r="128" spans="1:18" ht="42.75" customHeight="1" x14ac:dyDescent="0.35">
      <c r="A128" s="25" t="s">
        <v>255</v>
      </c>
      <c r="B128" s="19" t="s">
        <v>256</v>
      </c>
      <c r="C128" s="23" t="s">
        <v>29</v>
      </c>
      <c r="D128" s="19" t="s">
        <v>258</v>
      </c>
      <c r="E128" s="23">
        <v>4</v>
      </c>
      <c r="F128" s="19" t="s">
        <v>715</v>
      </c>
      <c r="G128" s="19" t="s">
        <v>432</v>
      </c>
      <c r="H128" s="23"/>
      <c r="I128" s="23"/>
      <c r="J128" s="23" t="s">
        <v>403</v>
      </c>
      <c r="K128" s="23">
        <v>40</v>
      </c>
      <c r="L128" s="24">
        <f>$K128/INDEX('Indicator Master'!$N$4:$N$46,MATCH($A128,'Indicator Master'!$A$4:$A$46,0))*'Risk Bands (Config)'!$B$5</f>
        <v>100</v>
      </c>
      <c r="M128" s="23">
        <f>IF($K128=INDEX('Indicator Master'!$N$4:$N$46,MATCH($A128,'Indicator Master'!$A$4:$A$46,0)),1,0)</f>
        <v>1</v>
      </c>
      <c r="N128" s="25" t="s">
        <v>417</v>
      </c>
      <c r="O128" s="19" t="s">
        <v>716</v>
      </c>
      <c r="P128" s="19" t="s">
        <v>717</v>
      </c>
      <c r="Q128" s="19" t="s">
        <v>534</v>
      </c>
      <c r="R128" s="26" t="str">
        <f t="shared" si="3"/>
        <v>EWS-032|40</v>
      </c>
    </row>
    <row r="129" spans="1:18" ht="21.75" customHeight="1" x14ac:dyDescent="0.35">
      <c r="A129" s="23" t="s">
        <v>261</v>
      </c>
      <c r="B129" s="19" t="s">
        <v>262</v>
      </c>
      <c r="C129" s="23" t="s">
        <v>29</v>
      </c>
      <c r="D129" s="19" t="s">
        <v>265</v>
      </c>
      <c r="E129" s="23">
        <v>1</v>
      </c>
      <c r="F129" s="19" t="s">
        <v>718</v>
      </c>
      <c r="G129" s="19" t="s">
        <v>432</v>
      </c>
      <c r="H129" s="23"/>
      <c r="I129" s="23"/>
      <c r="J129" s="23" t="s">
        <v>403</v>
      </c>
      <c r="K129" s="23">
        <v>0</v>
      </c>
      <c r="L129" s="24">
        <f>$K129/INDEX('Indicator Master'!$N$4:$N$46,MATCH($A129,'Indicator Master'!$A$4:$A$46,0))*'Risk Bands (Config)'!$B$5</f>
        <v>0</v>
      </c>
      <c r="M129" s="23">
        <f>IF($K129=INDEX('Indicator Master'!$N$4:$N$46,MATCH($A129,'Indicator Master'!$A$4:$A$46,0)),1,0)</f>
        <v>0</v>
      </c>
      <c r="N129" s="25"/>
      <c r="O129" s="19" t="s">
        <v>719</v>
      </c>
      <c r="P129" s="19" t="s">
        <v>370</v>
      </c>
      <c r="Q129" s="19" t="s">
        <v>371</v>
      </c>
      <c r="R129" s="26" t="str">
        <f t="shared" si="3"/>
        <v>EWS-033|0</v>
      </c>
    </row>
    <row r="130" spans="1:18" ht="21.75" customHeight="1" x14ac:dyDescent="0.35">
      <c r="A130" s="23" t="s">
        <v>261</v>
      </c>
      <c r="B130" s="19" t="s">
        <v>262</v>
      </c>
      <c r="C130" s="23" t="s">
        <v>29</v>
      </c>
      <c r="D130" s="19" t="s">
        <v>265</v>
      </c>
      <c r="E130" s="23">
        <v>2</v>
      </c>
      <c r="F130" s="19" t="s">
        <v>720</v>
      </c>
      <c r="G130" s="19" t="s">
        <v>432</v>
      </c>
      <c r="H130" s="23"/>
      <c r="I130" s="23"/>
      <c r="J130" s="23" t="s">
        <v>403</v>
      </c>
      <c r="K130" s="23">
        <v>10</v>
      </c>
      <c r="L130" s="24">
        <f>$K130/INDEX('Indicator Master'!$N$4:$N$46,MATCH($A130,'Indicator Master'!$A$4:$A$46,0))*'Risk Bands (Config)'!$B$5</f>
        <v>25</v>
      </c>
      <c r="M130" s="23">
        <f>IF($K130=INDEX('Indicator Master'!$N$4:$N$46,MATCH($A130,'Indicator Master'!$A$4:$A$46,0)),1,0)</f>
        <v>0</v>
      </c>
      <c r="N130" s="25"/>
      <c r="O130" s="19" t="s">
        <v>721</v>
      </c>
      <c r="P130" s="19" t="s">
        <v>722</v>
      </c>
      <c r="Q130" s="19" t="s">
        <v>411</v>
      </c>
      <c r="R130" s="26" t="str">
        <f t="shared" si="3"/>
        <v>EWS-033|10</v>
      </c>
    </row>
    <row r="131" spans="1:18" ht="21.75" customHeight="1" x14ac:dyDescent="0.35">
      <c r="A131" s="23" t="s">
        <v>261</v>
      </c>
      <c r="B131" s="19" t="s">
        <v>262</v>
      </c>
      <c r="C131" s="23" t="s">
        <v>29</v>
      </c>
      <c r="D131" s="19" t="s">
        <v>265</v>
      </c>
      <c r="E131" s="23">
        <v>3</v>
      </c>
      <c r="F131" s="19" t="s">
        <v>723</v>
      </c>
      <c r="G131" s="19" t="s">
        <v>432</v>
      </c>
      <c r="H131" s="23"/>
      <c r="I131" s="23"/>
      <c r="J131" s="23" t="s">
        <v>403</v>
      </c>
      <c r="K131" s="23">
        <v>25</v>
      </c>
      <c r="L131" s="24">
        <f>$K131/INDEX('Indicator Master'!$N$4:$N$46,MATCH($A131,'Indicator Master'!$A$4:$A$46,0))*'Risk Bands (Config)'!$B$5</f>
        <v>62.5</v>
      </c>
      <c r="M131" s="23">
        <f>IF($K131=INDEX('Indicator Master'!$N$4:$N$46,MATCH($A131,'Indicator Master'!$A$4:$A$46,0)),1,0)</f>
        <v>0</v>
      </c>
      <c r="N131" s="25"/>
      <c r="O131" s="19" t="s">
        <v>724</v>
      </c>
      <c r="P131" s="19" t="s">
        <v>725</v>
      </c>
      <c r="Q131" s="19" t="s">
        <v>381</v>
      </c>
      <c r="R131" s="26" t="str">
        <f t="shared" si="3"/>
        <v>EWS-033|25</v>
      </c>
    </row>
    <row r="132" spans="1:18" ht="21.75" customHeight="1" x14ac:dyDescent="0.35">
      <c r="A132" s="23" t="s">
        <v>261</v>
      </c>
      <c r="B132" s="19" t="s">
        <v>262</v>
      </c>
      <c r="C132" s="23" t="s">
        <v>29</v>
      </c>
      <c r="D132" s="19" t="s">
        <v>265</v>
      </c>
      <c r="E132" s="23">
        <v>4</v>
      </c>
      <c r="F132" s="19" t="s">
        <v>726</v>
      </c>
      <c r="G132" s="19" t="s">
        <v>432</v>
      </c>
      <c r="H132" s="23"/>
      <c r="I132" s="23"/>
      <c r="J132" s="23" t="s">
        <v>403</v>
      </c>
      <c r="K132" s="23">
        <v>40</v>
      </c>
      <c r="L132" s="24">
        <f>$K132/INDEX('Indicator Master'!$N$4:$N$46,MATCH($A132,'Indicator Master'!$A$4:$A$46,0))*'Risk Bands (Config)'!$B$5</f>
        <v>100</v>
      </c>
      <c r="M132" s="23">
        <f>IF($K132=INDEX('Indicator Master'!$N$4:$N$46,MATCH($A132,'Indicator Master'!$A$4:$A$46,0)),1,0)</f>
        <v>1</v>
      </c>
      <c r="N132" s="25"/>
      <c r="O132" s="19" t="s">
        <v>727</v>
      </c>
      <c r="P132" s="19" t="s">
        <v>728</v>
      </c>
      <c r="Q132" s="19" t="s">
        <v>386</v>
      </c>
      <c r="R132" s="26" t="str">
        <f t="shared" si="3"/>
        <v>EWS-033|40</v>
      </c>
    </row>
    <row r="133" spans="1:18" ht="21.75" customHeight="1" x14ac:dyDescent="0.35">
      <c r="A133" s="23" t="s">
        <v>270</v>
      </c>
      <c r="B133" s="19" t="s">
        <v>271</v>
      </c>
      <c r="C133" s="23" t="s">
        <v>29</v>
      </c>
      <c r="D133" s="19" t="s">
        <v>273</v>
      </c>
      <c r="E133" s="23">
        <v>1</v>
      </c>
      <c r="F133" s="19" t="s">
        <v>729</v>
      </c>
      <c r="G133" s="19" t="s">
        <v>367</v>
      </c>
      <c r="H133" s="23">
        <v>0</v>
      </c>
      <c r="I133" s="23">
        <v>0</v>
      </c>
      <c r="J133" s="23" t="s">
        <v>398</v>
      </c>
      <c r="K133" s="23">
        <v>0</v>
      </c>
      <c r="L133" s="24">
        <f>$K133/INDEX('Indicator Master'!$N$4:$N$46,MATCH($A133,'Indicator Master'!$A$4:$A$46,0))*'Risk Bands (Config)'!$B$5</f>
        <v>0</v>
      </c>
      <c r="M133" s="23">
        <f>IF($K133=INDEX('Indicator Master'!$N$4:$N$46,MATCH($A133,'Indicator Master'!$A$4:$A$46,0)),1,0)</f>
        <v>0</v>
      </c>
      <c r="N133" s="25"/>
      <c r="O133" s="19" t="s">
        <v>730</v>
      </c>
      <c r="P133" s="19" t="s">
        <v>370</v>
      </c>
      <c r="Q133" s="19" t="s">
        <v>371</v>
      </c>
      <c r="R133" s="26" t="str">
        <f t="shared" ref="R133:R160" si="4">$A133&amp;"|"&amp;$K133</f>
        <v>EWS-034|0</v>
      </c>
    </row>
    <row r="134" spans="1:18" ht="21.75" customHeight="1" x14ac:dyDescent="0.35">
      <c r="A134" s="23" t="s">
        <v>270</v>
      </c>
      <c r="B134" s="19" t="s">
        <v>271</v>
      </c>
      <c r="C134" s="23" t="s">
        <v>29</v>
      </c>
      <c r="D134" s="19" t="s">
        <v>273</v>
      </c>
      <c r="E134" s="23">
        <v>2</v>
      </c>
      <c r="F134" s="19" t="s">
        <v>731</v>
      </c>
      <c r="G134" s="19" t="s">
        <v>373</v>
      </c>
      <c r="H134" s="23">
        <v>0</v>
      </c>
      <c r="I134" s="23">
        <v>5</v>
      </c>
      <c r="J134" s="23" t="s">
        <v>374</v>
      </c>
      <c r="K134" s="23">
        <v>10</v>
      </c>
      <c r="L134" s="24">
        <f>$K134/INDEX('Indicator Master'!$N$4:$N$46,MATCH($A134,'Indicator Master'!$A$4:$A$46,0))*'Risk Bands (Config)'!$B$5</f>
        <v>33.333333333333329</v>
      </c>
      <c r="M134" s="23">
        <f>IF($K134=INDEX('Indicator Master'!$N$4:$N$46,MATCH($A134,'Indicator Master'!$A$4:$A$46,0)),1,0)</f>
        <v>0</v>
      </c>
      <c r="N134" s="25"/>
      <c r="O134" s="19" t="s">
        <v>732</v>
      </c>
      <c r="P134" s="19" t="s">
        <v>733</v>
      </c>
      <c r="Q134" s="19" t="s">
        <v>377</v>
      </c>
      <c r="R134" s="26" t="str">
        <f t="shared" si="4"/>
        <v>EWS-034|10</v>
      </c>
    </row>
    <row r="135" spans="1:18" ht="21.75" customHeight="1" x14ac:dyDescent="0.35">
      <c r="A135" s="23" t="s">
        <v>270</v>
      </c>
      <c r="B135" s="19" t="s">
        <v>271</v>
      </c>
      <c r="C135" s="23" t="s">
        <v>29</v>
      </c>
      <c r="D135" s="19" t="s">
        <v>273</v>
      </c>
      <c r="E135" s="23">
        <v>3</v>
      </c>
      <c r="F135" s="19" t="s">
        <v>516</v>
      </c>
      <c r="G135" s="19" t="s">
        <v>373</v>
      </c>
      <c r="H135" s="23">
        <v>5</v>
      </c>
      <c r="I135" s="23">
        <v>10</v>
      </c>
      <c r="J135" s="23" t="s">
        <v>374</v>
      </c>
      <c r="K135" s="23">
        <v>20</v>
      </c>
      <c r="L135" s="24">
        <f>$K135/INDEX('Indicator Master'!$N$4:$N$46,MATCH($A135,'Indicator Master'!$A$4:$A$46,0))*'Risk Bands (Config)'!$B$5</f>
        <v>66.666666666666657</v>
      </c>
      <c r="M135" s="23">
        <f>IF($K135=INDEX('Indicator Master'!$N$4:$N$46,MATCH($A135,'Indicator Master'!$A$4:$A$46,0)),1,0)</f>
        <v>0</v>
      </c>
      <c r="N135" s="25"/>
      <c r="O135" s="19" t="s">
        <v>734</v>
      </c>
      <c r="P135" s="19" t="s">
        <v>735</v>
      </c>
      <c r="Q135" s="19" t="s">
        <v>381</v>
      </c>
      <c r="R135" s="26" t="str">
        <f t="shared" si="4"/>
        <v>EWS-034|20</v>
      </c>
    </row>
    <row r="136" spans="1:18" ht="21.75" customHeight="1" x14ac:dyDescent="0.35">
      <c r="A136" s="23" t="s">
        <v>270</v>
      </c>
      <c r="B136" s="19" t="s">
        <v>271</v>
      </c>
      <c r="C136" s="23" t="s">
        <v>29</v>
      </c>
      <c r="D136" s="19" t="s">
        <v>273</v>
      </c>
      <c r="E136" s="23">
        <v>4</v>
      </c>
      <c r="F136" s="19" t="s">
        <v>736</v>
      </c>
      <c r="G136" s="19" t="s">
        <v>367</v>
      </c>
      <c r="H136" s="23">
        <v>10</v>
      </c>
      <c r="I136" s="23"/>
      <c r="J136" s="23" t="s">
        <v>398</v>
      </c>
      <c r="K136" s="23">
        <v>30</v>
      </c>
      <c r="L136" s="24">
        <f>$K136/INDEX('Indicator Master'!$N$4:$N$46,MATCH($A136,'Indicator Master'!$A$4:$A$46,0))*'Risk Bands (Config)'!$B$5</f>
        <v>100</v>
      </c>
      <c r="M136" s="23">
        <f>IF($K136=INDEX('Indicator Master'!$N$4:$N$46,MATCH($A136,'Indicator Master'!$A$4:$A$46,0)),1,0)</f>
        <v>1</v>
      </c>
      <c r="N136" s="25"/>
      <c r="O136" s="19" t="s">
        <v>737</v>
      </c>
      <c r="P136" s="19" t="s">
        <v>738</v>
      </c>
      <c r="Q136" s="19" t="s">
        <v>386</v>
      </c>
      <c r="R136" s="26" t="str">
        <f t="shared" si="4"/>
        <v>EWS-034|30</v>
      </c>
    </row>
    <row r="137" spans="1:18" ht="95.25" customHeight="1" x14ac:dyDescent="0.35">
      <c r="A137" s="25" t="s">
        <v>276</v>
      </c>
      <c r="B137" s="19" t="s">
        <v>277</v>
      </c>
      <c r="C137" s="23" t="s">
        <v>29</v>
      </c>
      <c r="D137" s="19" t="s">
        <v>279</v>
      </c>
      <c r="E137" s="23">
        <v>1</v>
      </c>
      <c r="F137" s="19" t="s">
        <v>739</v>
      </c>
      <c r="G137" s="19" t="s">
        <v>432</v>
      </c>
      <c r="H137" s="23"/>
      <c r="I137" s="23"/>
      <c r="J137" s="23" t="s">
        <v>403</v>
      </c>
      <c r="K137" s="23">
        <v>0</v>
      </c>
      <c r="L137" s="24">
        <f>$K137/INDEX('Indicator Master'!$N$4:$N$46,MATCH($A137,'Indicator Master'!$A$4:$A$46,0))*'Risk Bands (Config)'!$B$5</f>
        <v>0</v>
      </c>
      <c r="M137" s="23">
        <f>IF($K137=INDEX('Indicator Master'!$N$4:$N$46,MATCH($A137,'Indicator Master'!$A$4:$A$46,0)),1,0)</f>
        <v>0</v>
      </c>
      <c r="N137" s="25"/>
      <c r="O137" s="19" t="s">
        <v>740</v>
      </c>
      <c r="P137" s="19" t="s">
        <v>370</v>
      </c>
      <c r="Q137" s="19" t="s">
        <v>371</v>
      </c>
      <c r="R137" s="26" t="str">
        <f t="shared" si="4"/>
        <v>EWS-035|0</v>
      </c>
    </row>
    <row r="138" spans="1:18" ht="95.25" customHeight="1" x14ac:dyDescent="0.35">
      <c r="A138" s="25" t="s">
        <v>276</v>
      </c>
      <c r="B138" s="19" t="s">
        <v>277</v>
      </c>
      <c r="C138" s="23" t="s">
        <v>29</v>
      </c>
      <c r="D138" s="19" t="s">
        <v>279</v>
      </c>
      <c r="E138" s="23">
        <v>2</v>
      </c>
      <c r="F138" s="19" t="s">
        <v>741</v>
      </c>
      <c r="G138" s="19" t="s">
        <v>432</v>
      </c>
      <c r="H138" s="23"/>
      <c r="I138" s="23"/>
      <c r="J138" s="23" t="s">
        <v>403</v>
      </c>
      <c r="K138" s="23">
        <v>50</v>
      </c>
      <c r="L138" s="24">
        <f>$K138/INDEX('Indicator Master'!$N$4:$N$46,MATCH($A138,'Indicator Master'!$A$4:$A$46,0))*'Risk Bands (Config)'!$B$5</f>
        <v>100</v>
      </c>
      <c r="M138" s="23">
        <f>IF($K138=INDEX('Indicator Master'!$N$4:$N$46,MATCH($A138,'Indicator Master'!$A$4:$A$46,0)),1,0)</f>
        <v>1</v>
      </c>
      <c r="N138" s="25" t="s">
        <v>417</v>
      </c>
      <c r="O138" s="19" t="s">
        <v>742</v>
      </c>
      <c r="P138" s="19" t="s">
        <v>743</v>
      </c>
      <c r="Q138" s="19" t="s">
        <v>381</v>
      </c>
      <c r="R138" s="26" t="str">
        <f t="shared" si="4"/>
        <v>EWS-035|50</v>
      </c>
    </row>
    <row r="139" spans="1:18" ht="21.75" customHeight="1" x14ac:dyDescent="0.35">
      <c r="A139" s="23" t="s">
        <v>282</v>
      </c>
      <c r="B139" s="19" t="s">
        <v>283</v>
      </c>
      <c r="C139" s="23" t="s">
        <v>29</v>
      </c>
      <c r="D139" s="19" t="s">
        <v>286</v>
      </c>
      <c r="E139" s="23">
        <v>1</v>
      </c>
      <c r="F139" s="19" t="s">
        <v>744</v>
      </c>
      <c r="G139" s="19" t="s">
        <v>432</v>
      </c>
      <c r="H139" s="23"/>
      <c r="I139" s="23"/>
      <c r="J139" s="23" t="s">
        <v>403</v>
      </c>
      <c r="K139" s="23">
        <v>0</v>
      </c>
      <c r="L139" s="24">
        <f>$K139/INDEX('Indicator Master'!$N$4:$N$46,MATCH($A139,'Indicator Master'!$A$4:$A$46,0))*'Risk Bands (Config)'!$B$5</f>
        <v>0</v>
      </c>
      <c r="M139" s="23">
        <f>IF($K139=INDEX('Indicator Master'!$N$4:$N$46,MATCH($A139,'Indicator Master'!$A$4:$A$46,0)),1,0)</f>
        <v>0</v>
      </c>
      <c r="N139" s="25"/>
      <c r="O139" s="19" t="s">
        <v>745</v>
      </c>
      <c r="P139" s="19" t="s">
        <v>370</v>
      </c>
      <c r="Q139" s="19" t="s">
        <v>371</v>
      </c>
      <c r="R139" s="26" t="str">
        <f t="shared" si="4"/>
        <v>EWS-036|0</v>
      </c>
    </row>
    <row r="140" spans="1:18" ht="21.75" customHeight="1" x14ac:dyDescent="0.35">
      <c r="A140" s="23" t="s">
        <v>282</v>
      </c>
      <c r="B140" s="19" t="s">
        <v>283</v>
      </c>
      <c r="C140" s="23" t="s">
        <v>29</v>
      </c>
      <c r="D140" s="19" t="s">
        <v>286</v>
      </c>
      <c r="E140" s="23">
        <v>2</v>
      </c>
      <c r="F140" s="19" t="s">
        <v>746</v>
      </c>
      <c r="G140" s="19" t="s">
        <v>432</v>
      </c>
      <c r="H140" s="23"/>
      <c r="I140" s="23"/>
      <c r="J140" s="23" t="s">
        <v>403</v>
      </c>
      <c r="K140" s="23">
        <v>25</v>
      </c>
      <c r="L140" s="24">
        <f>$K140/INDEX('Indicator Master'!$N$4:$N$46,MATCH($A140,'Indicator Master'!$A$4:$A$46,0))*'Risk Bands (Config)'!$B$5</f>
        <v>50</v>
      </c>
      <c r="M140" s="23">
        <f>IF($K140=INDEX('Indicator Master'!$N$4:$N$46,MATCH($A140,'Indicator Master'!$A$4:$A$46,0)),1,0)</f>
        <v>0</v>
      </c>
      <c r="N140" s="25"/>
      <c r="O140" s="19" t="s">
        <v>747</v>
      </c>
      <c r="P140" s="19" t="s">
        <v>748</v>
      </c>
      <c r="Q140" s="19" t="s">
        <v>377</v>
      </c>
      <c r="R140" s="26" t="str">
        <f t="shared" si="4"/>
        <v>EWS-036|25</v>
      </c>
    </row>
    <row r="141" spans="1:18" ht="21.75" customHeight="1" x14ac:dyDescent="0.35">
      <c r="A141" s="23" t="s">
        <v>282</v>
      </c>
      <c r="B141" s="19" t="s">
        <v>283</v>
      </c>
      <c r="C141" s="23" t="s">
        <v>29</v>
      </c>
      <c r="D141" s="19" t="s">
        <v>286</v>
      </c>
      <c r="E141" s="23">
        <v>3</v>
      </c>
      <c r="F141" s="19" t="s">
        <v>749</v>
      </c>
      <c r="G141" s="19" t="s">
        <v>432</v>
      </c>
      <c r="H141" s="23"/>
      <c r="I141" s="23"/>
      <c r="J141" s="23" t="s">
        <v>403</v>
      </c>
      <c r="K141" s="23">
        <v>50</v>
      </c>
      <c r="L141" s="24">
        <f>$K141/INDEX('Indicator Master'!$N$4:$N$46,MATCH($A141,'Indicator Master'!$A$4:$A$46,0))*'Risk Bands (Config)'!$B$5</f>
        <v>100</v>
      </c>
      <c r="M141" s="23">
        <f>IF($K141=INDEX('Indicator Master'!$N$4:$N$46,MATCH($A141,'Indicator Master'!$A$4:$A$46,0)),1,0)</f>
        <v>1</v>
      </c>
      <c r="N141" s="25"/>
      <c r="O141" s="19" t="s">
        <v>750</v>
      </c>
      <c r="P141" s="19" t="s">
        <v>751</v>
      </c>
      <c r="Q141" s="19" t="s">
        <v>420</v>
      </c>
      <c r="R141" s="26" t="str">
        <f t="shared" si="4"/>
        <v>EWS-036|50</v>
      </c>
    </row>
    <row r="142" spans="1:18" ht="21.75" customHeight="1" x14ac:dyDescent="0.35">
      <c r="A142" s="23" t="s">
        <v>289</v>
      </c>
      <c r="B142" s="19" t="s">
        <v>290</v>
      </c>
      <c r="C142" s="23" t="s">
        <v>29</v>
      </c>
      <c r="D142" s="19" t="s">
        <v>293</v>
      </c>
      <c r="E142" s="23">
        <v>1</v>
      </c>
      <c r="F142" s="19" t="s">
        <v>576</v>
      </c>
      <c r="G142" s="19" t="s">
        <v>432</v>
      </c>
      <c r="H142" s="23"/>
      <c r="I142" s="23"/>
      <c r="J142" s="23" t="s">
        <v>403</v>
      </c>
      <c r="K142" s="23">
        <v>0</v>
      </c>
      <c r="L142" s="24">
        <f>$K142/INDEX('Indicator Master'!$N$4:$N$46,MATCH($A142,'Indicator Master'!$A$4:$A$46,0))*'Risk Bands (Config)'!$B$5</f>
        <v>0</v>
      </c>
      <c r="M142" s="23">
        <f>IF($K142=INDEX('Indicator Master'!$N$4:$N$46,MATCH($A142,'Indicator Master'!$A$4:$A$46,0)),1,0)</f>
        <v>0</v>
      </c>
      <c r="N142" s="25"/>
      <c r="O142" s="19" t="s">
        <v>752</v>
      </c>
      <c r="P142" s="19" t="s">
        <v>370</v>
      </c>
      <c r="Q142" s="19" t="s">
        <v>371</v>
      </c>
      <c r="R142" s="26" t="str">
        <f t="shared" si="4"/>
        <v>EWS-037|0</v>
      </c>
    </row>
    <row r="143" spans="1:18" ht="21.75" customHeight="1" x14ac:dyDescent="0.35">
      <c r="A143" s="23" t="s">
        <v>289</v>
      </c>
      <c r="B143" s="19" t="s">
        <v>290</v>
      </c>
      <c r="C143" s="23" t="s">
        <v>29</v>
      </c>
      <c r="D143" s="19" t="s">
        <v>293</v>
      </c>
      <c r="E143" s="23">
        <v>2</v>
      </c>
      <c r="F143" s="19" t="s">
        <v>753</v>
      </c>
      <c r="G143" s="19" t="s">
        <v>432</v>
      </c>
      <c r="H143" s="23"/>
      <c r="I143" s="23"/>
      <c r="J143" s="23" t="s">
        <v>403</v>
      </c>
      <c r="K143" s="23">
        <v>15</v>
      </c>
      <c r="L143" s="24">
        <f>$K143/INDEX('Indicator Master'!$N$4:$N$46,MATCH($A143,'Indicator Master'!$A$4:$A$46,0))*'Risk Bands (Config)'!$B$5</f>
        <v>30</v>
      </c>
      <c r="M143" s="23">
        <f>IF($K143=INDEX('Indicator Master'!$N$4:$N$46,MATCH($A143,'Indicator Master'!$A$4:$A$46,0)),1,0)</f>
        <v>0</v>
      </c>
      <c r="N143" s="25"/>
      <c r="O143" s="19" t="s">
        <v>754</v>
      </c>
      <c r="P143" s="19" t="s">
        <v>755</v>
      </c>
      <c r="Q143" s="19" t="s">
        <v>411</v>
      </c>
      <c r="R143" s="26" t="str">
        <f t="shared" si="4"/>
        <v>EWS-037|15</v>
      </c>
    </row>
    <row r="144" spans="1:18" ht="21.75" customHeight="1" x14ac:dyDescent="0.35">
      <c r="A144" s="23" t="s">
        <v>289</v>
      </c>
      <c r="B144" s="19" t="s">
        <v>290</v>
      </c>
      <c r="C144" s="23" t="s">
        <v>29</v>
      </c>
      <c r="D144" s="19" t="s">
        <v>293</v>
      </c>
      <c r="E144" s="23">
        <v>3</v>
      </c>
      <c r="F144" s="19" t="s">
        <v>756</v>
      </c>
      <c r="G144" s="19" t="s">
        <v>432</v>
      </c>
      <c r="H144" s="23"/>
      <c r="I144" s="23"/>
      <c r="J144" s="23" t="s">
        <v>403</v>
      </c>
      <c r="K144" s="23">
        <v>30</v>
      </c>
      <c r="L144" s="24">
        <f>$K144/INDEX('Indicator Master'!$N$4:$N$46,MATCH($A144,'Indicator Master'!$A$4:$A$46,0))*'Risk Bands (Config)'!$B$5</f>
        <v>60</v>
      </c>
      <c r="M144" s="23">
        <f>IF($K144=INDEX('Indicator Master'!$N$4:$N$46,MATCH($A144,'Indicator Master'!$A$4:$A$46,0)),1,0)</f>
        <v>0</v>
      </c>
      <c r="N144" s="25"/>
      <c r="O144" s="19" t="s">
        <v>757</v>
      </c>
      <c r="P144" s="19" t="s">
        <v>758</v>
      </c>
      <c r="Q144" s="19" t="s">
        <v>377</v>
      </c>
      <c r="R144" s="26" t="str">
        <f t="shared" si="4"/>
        <v>EWS-037|30</v>
      </c>
    </row>
    <row r="145" spans="1:18" ht="21.75" customHeight="1" x14ac:dyDescent="0.35">
      <c r="A145" s="23" t="s">
        <v>289</v>
      </c>
      <c r="B145" s="19" t="s">
        <v>290</v>
      </c>
      <c r="C145" s="23" t="s">
        <v>29</v>
      </c>
      <c r="D145" s="19" t="s">
        <v>293</v>
      </c>
      <c r="E145" s="23">
        <v>4</v>
      </c>
      <c r="F145" s="19" t="s">
        <v>759</v>
      </c>
      <c r="G145" s="19" t="s">
        <v>432</v>
      </c>
      <c r="H145" s="23"/>
      <c r="I145" s="23"/>
      <c r="J145" s="23" t="s">
        <v>403</v>
      </c>
      <c r="K145" s="23">
        <v>50</v>
      </c>
      <c r="L145" s="24">
        <f>$K145/INDEX('Indicator Master'!$N$4:$N$46,MATCH($A145,'Indicator Master'!$A$4:$A$46,0))*'Risk Bands (Config)'!$B$5</f>
        <v>100</v>
      </c>
      <c r="M145" s="23">
        <f>IF($K145=INDEX('Indicator Master'!$N$4:$N$46,MATCH($A145,'Indicator Master'!$A$4:$A$46,0)),1,0)</f>
        <v>1</v>
      </c>
      <c r="N145" s="25"/>
      <c r="O145" s="19" t="s">
        <v>760</v>
      </c>
      <c r="P145" s="19" t="s">
        <v>761</v>
      </c>
      <c r="Q145" s="19" t="s">
        <v>660</v>
      </c>
      <c r="R145" s="26" t="str">
        <f t="shared" si="4"/>
        <v>EWS-037|50</v>
      </c>
    </row>
    <row r="146" spans="1:18" ht="32.25" customHeight="1" x14ac:dyDescent="0.35">
      <c r="A146" s="23" t="s">
        <v>296</v>
      </c>
      <c r="B146" s="19" t="s">
        <v>297</v>
      </c>
      <c r="C146" s="23" t="s">
        <v>29</v>
      </c>
      <c r="D146" s="19" t="s">
        <v>299</v>
      </c>
      <c r="E146" s="23">
        <v>1</v>
      </c>
      <c r="F146" s="19" t="s">
        <v>762</v>
      </c>
      <c r="G146" s="19" t="s">
        <v>432</v>
      </c>
      <c r="H146" s="23"/>
      <c r="I146" s="23"/>
      <c r="J146" s="23" t="s">
        <v>403</v>
      </c>
      <c r="K146" s="23">
        <v>0</v>
      </c>
      <c r="L146" s="24">
        <f>$K146/INDEX('Indicator Master'!$N$4:$N$46,MATCH($A146,'Indicator Master'!$A$4:$A$46,0))*'Risk Bands (Config)'!$B$5</f>
        <v>0</v>
      </c>
      <c r="M146" s="23">
        <f>IF($K146=INDEX('Indicator Master'!$N$4:$N$46,MATCH($A146,'Indicator Master'!$A$4:$A$46,0)),1,0)</f>
        <v>0</v>
      </c>
      <c r="N146" s="25"/>
      <c r="O146" s="19" t="s">
        <v>763</v>
      </c>
      <c r="P146" s="19" t="s">
        <v>370</v>
      </c>
      <c r="Q146" s="19" t="s">
        <v>371</v>
      </c>
      <c r="R146" s="26" t="str">
        <f t="shared" si="4"/>
        <v>EWS-038|0</v>
      </c>
    </row>
    <row r="147" spans="1:18" ht="32.25" customHeight="1" x14ac:dyDescent="0.35">
      <c r="A147" s="23" t="s">
        <v>296</v>
      </c>
      <c r="B147" s="19" t="s">
        <v>297</v>
      </c>
      <c r="C147" s="23" t="s">
        <v>29</v>
      </c>
      <c r="D147" s="19" t="s">
        <v>299</v>
      </c>
      <c r="E147" s="23">
        <v>2</v>
      </c>
      <c r="F147" s="19" t="s">
        <v>764</v>
      </c>
      <c r="G147" s="19" t="s">
        <v>432</v>
      </c>
      <c r="H147" s="23"/>
      <c r="I147" s="23"/>
      <c r="J147" s="23" t="s">
        <v>403</v>
      </c>
      <c r="K147" s="23">
        <v>15</v>
      </c>
      <c r="L147" s="24">
        <f>$K147/INDEX('Indicator Master'!$N$4:$N$46,MATCH($A147,'Indicator Master'!$A$4:$A$46,0))*'Risk Bands (Config)'!$B$5</f>
        <v>37.5</v>
      </c>
      <c r="M147" s="23">
        <f>IF($K147=INDEX('Indicator Master'!$N$4:$N$46,MATCH($A147,'Indicator Master'!$A$4:$A$46,0)),1,0)</f>
        <v>0</v>
      </c>
      <c r="N147" s="25"/>
      <c r="O147" s="19" t="s">
        <v>765</v>
      </c>
      <c r="P147" s="19" t="s">
        <v>766</v>
      </c>
      <c r="Q147" s="19" t="s">
        <v>377</v>
      </c>
      <c r="R147" s="26" t="str">
        <f t="shared" si="4"/>
        <v>EWS-038|15</v>
      </c>
    </row>
    <row r="148" spans="1:18" ht="32.25" customHeight="1" x14ac:dyDescent="0.35">
      <c r="A148" s="23" t="s">
        <v>296</v>
      </c>
      <c r="B148" s="19" t="s">
        <v>297</v>
      </c>
      <c r="C148" s="23" t="s">
        <v>29</v>
      </c>
      <c r="D148" s="19" t="s">
        <v>299</v>
      </c>
      <c r="E148" s="23">
        <v>3</v>
      </c>
      <c r="F148" s="19" t="s">
        <v>767</v>
      </c>
      <c r="G148" s="19" t="s">
        <v>432</v>
      </c>
      <c r="H148" s="23"/>
      <c r="I148" s="23"/>
      <c r="J148" s="23" t="s">
        <v>403</v>
      </c>
      <c r="K148" s="23">
        <v>40</v>
      </c>
      <c r="L148" s="24">
        <f>$K148/INDEX('Indicator Master'!$N$4:$N$46,MATCH($A148,'Indicator Master'!$A$4:$A$46,0))*'Risk Bands (Config)'!$B$5</f>
        <v>100</v>
      </c>
      <c r="M148" s="23">
        <f>IF($K148=INDEX('Indicator Master'!$N$4:$N$46,MATCH($A148,'Indicator Master'!$A$4:$A$46,0)),1,0)</f>
        <v>1</v>
      </c>
      <c r="N148" s="25"/>
      <c r="O148" s="19" t="s">
        <v>768</v>
      </c>
      <c r="P148" s="19" t="s">
        <v>769</v>
      </c>
      <c r="Q148" s="19" t="s">
        <v>770</v>
      </c>
      <c r="R148" s="26" t="str">
        <f t="shared" si="4"/>
        <v>EWS-038|40</v>
      </c>
    </row>
    <row r="149" spans="1:18" ht="32.25" customHeight="1" x14ac:dyDescent="0.35">
      <c r="A149" s="23" t="s">
        <v>305</v>
      </c>
      <c r="B149" s="19" t="s">
        <v>306</v>
      </c>
      <c r="C149" s="23" t="s">
        <v>29</v>
      </c>
      <c r="D149" s="19" t="s">
        <v>308</v>
      </c>
      <c r="E149" s="23">
        <v>1</v>
      </c>
      <c r="F149" s="19" t="s">
        <v>771</v>
      </c>
      <c r="G149" s="19" t="s">
        <v>432</v>
      </c>
      <c r="H149" s="23"/>
      <c r="I149" s="23"/>
      <c r="J149" s="23" t="s">
        <v>403</v>
      </c>
      <c r="K149" s="23">
        <v>0</v>
      </c>
      <c r="L149" s="24">
        <f>$K149/INDEX('Indicator Master'!$N$4:$N$46,MATCH($A149,'Indicator Master'!$A$4:$A$46,0))*'Risk Bands (Config)'!$B$5</f>
        <v>0</v>
      </c>
      <c r="M149" s="23">
        <f>IF($K149=INDEX('Indicator Master'!$N$4:$N$46,MATCH($A149,'Indicator Master'!$A$4:$A$46,0)),1,0)</f>
        <v>0</v>
      </c>
      <c r="N149" s="25"/>
      <c r="O149" s="19" t="s">
        <v>772</v>
      </c>
      <c r="P149" s="19" t="s">
        <v>370</v>
      </c>
      <c r="Q149" s="19" t="s">
        <v>371</v>
      </c>
      <c r="R149" s="26" t="str">
        <f t="shared" si="4"/>
        <v>EWS-039|0</v>
      </c>
    </row>
    <row r="150" spans="1:18" ht="32.25" customHeight="1" x14ac:dyDescent="0.35">
      <c r="A150" s="23" t="s">
        <v>305</v>
      </c>
      <c r="B150" s="19" t="s">
        <v>306</v>
      </c>
      <c r="C150" s="23" t="s">
        <v>29</v>
      </c>
      <c r="D150" s="19" t="s">
        <v>308</v>
      </c>
      <c r="E150" s="23">
        <v>2</v>
      </c>
      <c r="F150" s="19" t="s">
        <v>773</v>
      </c>
      <c r="G150" s="19" t="s">
        <v>432</v>
      </c>
      <c r="H150" s="23"/>
      <c r="I150" s="23"/>
      <c r="J150" s="23" t="s">
        <v>403</v>
      </c>
      <c r="K150" s="23">
        <v>50</v>
      </c>
      <c r="L150" s="24">
        <f>$K150/INDEX('Indicator Master'!$N$4:$N$46,MATCH($A150,'Indicator Master'!$A$4:$A$46,0))*'Risk Bands (Config)'!$B$5</f>
        <v>100</v>
      </c>
      <c r="M150" s="23">
        <f>IF($K150=INDEX('Indicator Master'!$N$4:$N$46,MATCH($A150,'Indicator Master'!$A$4:$A$46,0)),1,0)</f>
        <v>1</v>
      </c>
      <c r="N150" s="25"/>
      <c r="O150" s="19" t="s">
        <v>774</v>
      </c>
      <c r="P150" s="19" t="s">
        <v>775</v>
      </c>
      <c r="Q150" s="19" t="s">
        <v>575</v>
      </c>
      <c r="R150" s="26" t="str">
        <f t="shared" si="4"/>
        <v>EWS-039|50</v>
      </c>
    </row>
    <row r="151" spans="1:18" ht="32.25" customHeight="1" x14ac:dyDescent="0.35">
      <c r="A151" s="23" t="s">
        <v>313</v>
      </c>
      <c r="B151" s="19" t="s">
        <v>314</v>
      </c>
      <c r="C151" s="23" t="s">
        <v>29</v>
      </c>
      <c r="D151" s="19" t="s">
        <v>316</v>
      </c>
      <c r="E151" s="23">
        <v>1</v>
      </c>
      <c r="F151" s="19" t="s">
        <v>771</v>
      </c>
      <c r="G151" s="19" t="s">
        <v>432</v>
      </c>
      <c r="H151" s="23"/>
      <c r="I151" s="23"/>
      <c r="J151" s="23" t="s">
        <v>403</v>
      </c>
      <c r="K151" s="23">
        <v>0</v>
      </c>
      <c r="L151" s="24">
        <f>$K151/INDEX('Indicator Master'!$N$4:$N$46,MATCH($A151,'Indicator Master'!$A$4:$A$46,0))*'Risk Bands (Config)'!$B$5</f>
        <v>0</v>
      </c>
      <c r="M151" s="23">
        <f>IF($K151=INDEX('Indicator Master'!$N$4:$N$46,MATCH($A151,'Indicator Master'!$A$4:$A$46,0)),1,0)</f>
        <v>0</v>
      </c>
      <c r="N151" s="25"/>
      <c r="O151" s="19" t="s">
        <v>776</v>
      </c>
      <c r="P151" s="19" t="s">
        <v>370</v>
      </c>
      <c r="Q151" s="19" t="s">
        <v>371</v>
      </c>
      <c r="R151" s="26" t="str">
        <f t="shared" si="4"/>
        <v>EWS-040|0</v>
      </c>
    </row>
    <row r="152" spans="1:18" ht="32.25" customHeight="1" x14ac:dyDescent="0.35">
      <c r="A152" s="23" t="s">
        <v>313</v>
      </c>
      <c r="B152" s="19" t="s">
        <v>314</v>
      </c>
      <c r="C152" s="23" t="s">
        <v>29</v>
      </c>
      <c r="D152" s="19" t="s">
        <v>316</v>
      </c>
      <c r="E152" s="23">
        <v>2</v>
      </c>
      <c r="F152" s="19" t="s">
        <v>773</v>
      </c>
      <c r="G152" s="19" t="s">
        <v>432</v>
      </c>
      <c r="H152" s="23"/>
      <c r="I152" s="23"/>
      <c r="J152" s="23" t="s">
        <v>403</v>
      </c>
      <c r="K152" s="23">
        <v>50</v>
      </c>
      <c r="L152" s="24">
        <f>$K152/INDEX('Indicator Master'!$N$4:$N$46,MATCH($A152,'Indicator Master'!$A$4:$A$46,0))*'Risk Bands (Config)'!$B$5</f>
        <v>100</v>
      </c>
      <c r="M152" s="23">
        <f>IF($K152=INDEX('Indicator Master'!$N$4:$N$46,MATCH($A152,'Indicator Master'!$A$4:$A$46,0)),1,0)</f>
        <v>1</v>
      </c>
      <c r="N152" s="25"/>
      <c r="O152" s="19" t="s">
        <v>777</v>
      </c>
      <c r="P152" s="19" t="s">
        <v>778</v>
      </c>
      <c r="Q152" s="19" t="s">
        <v>575</v>
      </c>
      <c r="R152" s="26" t="str">
        <f t="shared" si="4"/>
        <v>EWS-040|50</v>
      </c>
    </row>
    <row r="153" spans="1:18" ht="21.75" customHeight="1" x14ac:dyDescent="0.35">
      <c r="A153" s="23" t="s">
        <v>318</v>
      </c>
      <c r="B153" s="19" t="s">
        <v>319</v>
      </c>
      <c r="C153" s="23" t="s">
        <v>29</v>
      </c>
      <c r="D153" s="19" t="s">
        <v>322</v>
      </c>
      <c r="E153" s="23">
        <v>1</v>
      </c>
      <c r="F153" s="19" t="s">
        <v>779</v>
      </c>
      <c r="G153" s="19" t="s">
        <v>780</v>
      </c>
      <c r="H153" s="23">
        <v>1.25</v>
      </c>
      <c r="I153" s="23">
        <v>1.5</v>
      </c>
      <c r="J153" s="23" t="s">
        <v>389</v>
      </c>
      <c r="K153" s="23">
        <v>0</v>
      </c>
      <c r="L153" s="24">
        <f>$K153/INDEX('Indicator Master'!$N$4:$N$46,MATCH($A153,'Indicator Master'!$A$4:$A$46,0))*'Risk Bands (Config)'!$B$5</f>
        <v>0</v>
      </c>
      <c r="M153" s="23">
        <f>IF($K153=INDEX('Indicator Master'!$N$4:$N$46,MATCH($A153,'Indicator Master'!$A$4:$A$46,0)),1,0)</f>
        <v>0</v>
      </c>
      <c r="N153" s="25"/>
      <c r="O153" s="19" t="s">
        <v>781</v>
      </c>
      <c r="P153" s="19" t="s">
        <v>370</v>
      </c>
      <c r="Q153" s="19" t="s">
        <v>371</v>
      </c>
      <c r="R153" s="26" t="str">
        <f t="shared" si="4"/>
        <v>EWS-041|0</v>
      </c>
    </row>
    <row r="154" spans="1:18" ht="32.25" customHeight="1" x14ac:dyDescent="0.35">
      <c r="A154" s="23" t="s">
        <v>318</v>
      </c>
      <c r="B154" s="19" t="s">
        <v>319</v>
      </c>
      <c r="C154" s="23" t="s">
        <v>29</v>
      </c>
      <c r="D154" s="19" t="s">
        <v>322</v>
      </c>
      <c r="E154" s="23">
        <v>2</v>
      </c>
      <c r="F154" s="19" t="s">
        <v>782</v>
      </c>
      <c r="G154" s="19" t="s">
        <v>783</v>
      </c>
      <c r="H154" s="23"/>
      <c r="I154" s="23">
        <v>1.25</v>
      </c>
      <c r="J154" s="23" t="s">
        <v>368</v>
      </c>
      <c r="K154" s="23">
        <v>40</v>
      </c>
      <c r="L154" s="24">
        <f>$K154/INDEX('Indicator Master'!$N$4:$N$46,MATCH($A154,'Indicator Master'!$A$4:$A$46,0))*'Risk Bands (Config)'!$B$5</f>
        <v>100</v>
      </c>
      <c r="M154" s="23">
        <f>IF($K154=INDEX('Indicator Master'!$N$4:$N$46,MATCH($A154,'Indicator Master'!$A$4:$A$46,0)),1,0)</f>
        <v>1</v>
      </c>
      <c r="N154" s="25"/>
      <c r="O154" s="19" t="s">
        <v>784</v>
      </c>
      <c r="P154" s="19" t="s">
        <v>785</v>
      </c>
      <c r="Q154" s="19" t="s">
        <v>386</v>
      </c>
      <c r="R154" s="26" t="str">
        <f t="shared" si="4"/>
        <v>EWS-041|40</v>
      </c>
    </row>
    <row r="155" spans="1:18" ht="21.75" customHeight="1" x14ac:dyDescent="0.35">
      <c r="A155" s="23" t="s">
        <v>328</v>
      </c>
      <c r="B155" s="19" t="s">
        <v>329</v>
      </c>
      <c r="C155" s="23" t="s">
        <v>29</v>
      </c>
      <c r="D155" s="19" t="s">
        <v>331</v>
      </c>
      <c r="E155" s="23">
        <v>1</v>
      </c>
      <c r="F155" s="19" t="s">
        <v>786</v>
      </c>
      <c r="G155" s="19" t="s">
        <v>783</v>
      </c>
      <c r="H155" s="23"/>
      <c r="I155" s="23">
        <v>2</v>
      </c>
      <c r="J155" s="23" t="s">
        <v>445</v>
      </c>
      <c r="K155" s="23">
        <v>0</v>
      </c>
      <c r="L155" s="24">
        <f>$K155/INDEX('Indicator Master'!$N$4:$N$46,MATCH($A155,'Indicator Master'!$A$4:$A$46,0))*'Risk Bands (Config)'!$B$5</f>
        <v>0</v>
      </c>
      <c r="M155" s="23">
        <f>IF($K155=INDEX('Indicator Master'!$N$4:$N$46,MATCH($A155,'Indicator Master'!$A$4:$A$46,0)),1,0)</f>
        <v>0</v>
      </c>
      <c r="N155" s="25"/>
      <c r="O155" s="19" t="s">
        <v>787</v>
      </c>
      <c r="P155" s="19" t="s">
        <v>370</v>
      </c>
      <c r="Q155" s="19" t="s">
        <v>371</v>
      </c>
      <c r="R155" s="26" t="str">
        <f t="shared" si="4"/>
        <v>EWS-042|0</v>
      </c>
    </row>
    <row r="156" spans="1:18" ht="21.75" customHeight="1" x14ac:dyDescent="0.35">
      <c r="A156" s="23" t="s">
        <v>328</v>
      </c>
      <c r="B156" s="19" t="s">
        <v>329</v>
      </c>
      <c r="C156" s="23" t="s">
        <v>29</v>
      </c>
      <c r="D156" s="19" t="s">
        <v>331</v>
      </c>
      <c r="E156" s="23">
        <v>2</v>
      </c>
      <c r="F156" s="19" t="s">
        <v>788</v>
      </c>
      <c r="G156" s="19" t="s">
        <v>780</v>
      </c>
      <c r="H156" s="23">
        <v>2</v>
      </c>
      <c r="I156" s="23">
        <v>3</v>
      </c>
      <c r="J156" s="23" t="s">
        <v>448</v>
      </c>
      <c r="K156" s="23">
        <v>10</v>
      </c>
      <c r="L156" s="24">
        <f>$K156/INDEX('Indicator Master'!$N$4:$N$46,MATCH($A156,'Indicator Master'!$A$4:$A$46,0))*'Risk Bands (Config)'!$B$5</f>
        <v>25</v>
      </c>
      <c r="M156" s="23">
        <f>IF($K156=INDEX('Indicator Master'!$N$4:$N$46,MATCH($A156,'Indicator Master'!$A$4:$A$46,0)),1,0)</f>
        <v>0</v>
      </c>
      <c r="N156" s="25"/>
      <c r="O156" s="19" t="s">
        <v>789</v>
      </c>
      <c r="P156" s="19" t="s">
        <v>790</v>
      </c>
      <c r="Q156" s="19" t="s">
        <v>411</v>
      </c>
      <c r="R156" s="26" t="str">
        <f t="shared" si="4"/>
        <v>EWS-042|10</v>
      </c>
    </row>
    <row r="157" spans="1:18" ht="21.75" customHeight="1" x14ac:dyDescent="0.35">
      <c r="A157" s="23" t="s">
        <v>328</v>
      </c>
      <c r="B157" s="19" t="s">
        <v>329</v>
      </c>
      <c r="C157" s="23" t="s">
        <v>29</v>
      </c>
      <c r="D157" s="19" t="s">
        <v>331</v>
      </c>
      <c r="E157" s="23">
        <v>3</v>
      </c>
      <c r="F157" s="19" t="s">
        <v>791</v>
      </c>
      <c r="G157" s="19" t="s">
        <v>783</v>
      </c>
      <c r="H157" s="23">
        <v>3</v>
      </c>
      <c r="I157" s="23"/>
      <c r="J157" s="23" t="s">
        <v>416</v>
      </c>
      <c r="K157" s="23">
        <v>40</v>
      </c>
      <c r="L157" s="24">
        <f>$K157/INDEX('Indicator Master'!$N$4:$N$46,MATCH($A157,'Indicator Master'!$A$4:$A$46,0))*'Risk Bands (Config)'!$B$5</f>
        <v>100</v>
      </c>
      <c r="M157" s="23">
        <f>IF($K157=INDEX('Indicator Master'!$N$4:$N$46,MATCH($A157,'Indicator Master'!$A$4:$A$46,0)),1,0)</f>
        <v>1</v>
      </c>
      <c r="N157" s="25"/>
      <c r="O157" s="19" t="s">
        <v>792</v>
      </c>
      <c r="P157" s="19" t="s">
        <v>793</v>
      </c>
      <c r="Q157" s="19" t="s">
        <v>386</v>
      </c>
      <c r="R157" s="26" t="str">
        <f t="shared" si="4"/>
        <v>EWS-042|40</v>
      </c>
    </row>
    <row r="158" spans="1:18" ht="21.75" customHeight="1" x14ac:dyDescent="0.35">
      <c r="A158" s="23" t="s">
        <v>334</v>
      </c>
      <c r="B158" s="19" t="s">
        <v>335</v>
      </c>
      <c r="C158" s="23" t="s">
        <v>29</v>
      </c>
      <c r="D158" s="19" t="s">
        <v>337</v>
      </c>
      <c r="E158" s="23">
        <v>1</v>
      </c>
      <c r="F158" s="19" t="s">
        <v>794</v>
      </c>
      <c r="G158" s="19" t="s">
        <v>783</v>
      </c>
      <c r="H158" s="23">
        <v>1.33</v>
      </c>
      <c r="I158" s="23"/>
      <c r="J158" s="23" t="s">
        <v>398</v>
      </c>
      <c r="K158" s="23">
        <v>0</v>
      </c>
      <c r="L158" s="24">
        <f>$K158/INDEX('Indicator Master'!$N$4:$N$46,MATCH($A158,'Indicator Master'!$A$4:$A$46,0))*'Risk Bands (Config)'!$B$5</f>
        <v>0</v>
      </c>
      <c r="M158" s="23">
        <f>IF($K158=INDEX('Indicator Master'!$N$4:$N$46,MATCH($A158,'Indicator Master'!$A$4:$A$46,0)),1,0)</f>
        <v>0</v>
      </c>
      <c r="N158" s="25"/>
      <c r="O158" s="19" t="s">
        <v>795</v>
      </c>
      <c r="P158" s="19" t="s">
        <v>370</v>
      </c>
      <c r="Q158" s="19" t="s">
        <v>371</v>
      </c>
      <c r="R158" s="26" t="str">
        <f t="shared" si="4"/>
        <v>EWS-043|0</v>
      </c>
    </row>
    <row r="159" spans="1:18" ht="21.75" customHeight="1" x14ac:dyDescent="0.35">
      <c r="A159" s="23" t="s">
        <v>334</v>
      </c>
      <c r="B159" s="19" t="s">
        <v>335</v>
      </c>
      <c r="C159" s="23" t="s">
        <v>29</v>
      </c>
      <c r="D159" s="19" t="s">
        <v>337</v>
      </c>
      <c r="E159" s="23">
        <v>2</v>
      </c>
      <c r="F159" s="19" t="s">
        <v>796</v>
      </c>
      <c r="G159" s="19" t="s">
        <v>780</v>
      </c>
      <c r="H159" s="23">
        <v>1</v>
      </c>
      <c r="I159" s="23">
        <v>1.33</v>
      </c>
      <c r="J159" s="23" t="s">
        <v>374</v>
      </c>
      <c r="K159" s="23">
        <v>10</v>
      </c>
      <c r="L159" s="24">
        <f>$K159/INDEX('Indicator Master'!$N$4:$N$46,MATCH($A159,'Indicator Master'!$A$4:$A$46,0))*'Risk Bands (Config)'!$B$5</f>
        <v>25</v>
      </c>
      <c r="M159" s="23">
        <f>IF($K159=INDEX('Indicator Master'!$N$4:$N$46,MATCH($A159,'Indicator Master'!$A$4:$A$46,0)),1,0)</f>
        <v>0</v>
      </c>
      <c r="N159" s="25"/>
      <c r="O159" s="19" t="s">
        <v>797</v>
      </c>
      <c r="P159" s="19" t="s">
        <v>798</v>
      </c>
      <c r="Q159" s="19" t="s">
        <v>411</v>
      </c>
      <c r="R159" s="26" t="str">
        <f t="shared" si="4"/>
        <v>EWS-043|10</v>
      </c>
    </row>
    <row r="160" spans="1:18" ht="21.75" customHeight="1" x14ac:dyDescent="0.35">
      <c r="A160" s="23" t="s">
        <v>334</v>
      </c>
      <c r="B160" s="19" t="s">
        <v>335</v>
      </c>
      <c r="C160" s="23" t="s">
        <v>29</v>
      </c>
      <c r="D160" s="19" t="s">
        <v>337</v>
      </c>
      <c r="E160" s="23">
        <v>3</v>
      </c>
      <c r="F160" s="19" t="s">
        <v>799</v>
      </c>
      <c r="G160" s="19" t="s">
        <v>783</v>
      </c>
      <c r="H160" s="23"/>
      <c r="I160" s="23">
        <v>1</v>
      </c>
      <c r="J160" s="23" t="s">
        <v>368</v>
      </c>
      <c r="K160" s="23">
        <v>40</v>
      </c>
      <c r="L160" s="24">
        <f>$K160/INDEX('Indicator Master'!$N$4:$N$46,MATCH($A160,'Indicator Master'!$A$4:$A$46,0))*'Risk Bands (Config)'!$B$5</f>
        <v>100</v>
      </c>
      <c r="M160" s="23">
        <f>IF($K160=INDEX('Indicator Master'!$N$4:$N$46,MATCH($A160,'Indicator Master'!$A$4:$A$46,0)),1,0)</f>
        <v>1</v>
      </c>
      <c r="N160" s="25"/>
      <c r="O160" s="19" t="s">
        <v>800</v>
      </c>
      <c r="P160" s="19" t="s">
        <v>801</v>
      </c>
      <c r="Q160" s="19" t="s">
        <v>386</v>
      </c>
      <c r="R160" s="26" t="str">
        <f t="shared" si="4"/>
        <v>EWS-043|40</v>
      </c>
    </row>
  </sheetData>
  <autoFilter ref="A4:Q160" xr:uid="{00000000-0001-0000-0300-000000000000}"/>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8"/>
  <sheetViews>
    <sheetView zoomScaleNormal="100" workbookViewId="0">
      <selection sqref="A1:P1"/>
    </sheetView>
  </sheetViews>
  <sheetFormatPr defaultColWidth="8.6328125" defaultRowHeight="14.5" x14ac:dyDescent="0.35"/>
  <cols>
    <col min="1" max="1" width="8" customWidth="1"/>
    <col min="2" max="2" width="26" customWidth="1"/>
    <col min="3" max="3" width="10" customWidth="1"/>
    <col min="4" max="4" width="8" customWidth="1"/>
    <col min="5" max="5" width="9" customWidth="1"/>
    <col min="6" max="6" width="12" customWidth="1"/>
    <col min="7" max="7" width="13" customWidth="1"/>
    <col min="8" max="8" width="32" customWidth="1"/>
    <col min="9" max="10" width="9" customWidth="1"/>
    <col min="11" max="11" width="11" customWidth="1"/>
    <col min="12" max="12" width="9" customWidth="1"/>
    <col min="13" max="13" width="13" hidden="1" customWidth="1"/>
    <col min="14" max="14" width="40" customWidth="1"/>
    <col min="15" max="15" width="54" customWidth="1"/>
    <col min="16" max="16" width="20" customWidth="1"/>
  </cols>
  <sheetData>
    <row r="1" spans="1:16" ht="30" customHeight="1" x14ac:dyDescent="0.35">
      <c r="A1" s="14" t="s">
        <v>802</v>
      </c>
      <c r="B1" s="14"/>
      <c r="C1" s="14"/>
      <c r="D1" s="14"/>
      <c r="E1" s="14"/>
      <c r="F1" s="14"/>
      <c r="G1" s="14"/>
      <c r="H1" s="14"/>
      <c r="I1" s="14"/>
      <c r="J1" s="14"/>
      <c r="K1" s="14"/>
      <c r="L1" s="14"/>
      <c r="M1" s="14"/>
      <c r="N1" s="14"/>
      <c r="O1" s="14"/>
      <c r="P1" s="14"/>
    </row>
    <row r="2" spans="1:16" ht="25.5" customHeight="1" x14ac:dyDescent="0.35">
      <c r="A2" s="13" t="s">
        <v>803</v>
      </c>
      <c r="B2" s="13"/>
      <c r="C2" s="13"/>
      <c r="D2" s="13"/>
      <c r="E2" s="13"/>
      <c r="F2" s="13"/>
      <c r="G2" s="13"/>
      <c r="H2" s="13"/>
      <c r="I2" s="13"/>
      <c r="J2" s="13"/>
      <c r="K2" s="13"/>
      <c r="L2" s="13"/>
      <c r="M2" s="13"/>
      <c r="N2" s="13"/>
      <c r="O2" s="13"/>
      <c r="P2" s="13"/>
    </row>
    <row r="4" spans="1:16" ht="15" customHeight="1" x14ac:dyDescent="0.35">
      <c r="A4" s="27" t="s">
        <v>804</v>
      </c>
      <c r="B4" s="28" t="s">
        <v>805</v>
      </c>
    </row>
    <row r="5" spans="1:16" ht="15" customHeight="1" x14ac:dyDescent="0.35">
      <c r="A5" s="27" t="s">
        <v>806</v>
      </c>
      <c r="B5" s="28" t="s">
        <v>807</v>
      </c>
    </row>
    <row r="7" spans="1:16" ht="15" customHeight="1" x14ac:dyDescent="0.35">
      <c r="A7" s="29" t="s">
        <v>808</v>
      </c>
      <c r="B7" s="30">
        <f>COUNTA($A$23:$A$65)</f>
        <v>43</v>
      </c>
    </row>
    <row r="8" spans="1:16" ht="15" customHeight="1" x14ac:dyDescent="0.35">
      <c r="A8" s="29" t="s">
        <v>809</v>
      </c>
      <c r="B8" s="30">
        <f>COUNTIF($F$23:$F$65,"Y")</f>
        <v>39</v>
      </c>
      <c r="C8" s="9" t="s">
        <v>810</v>
      </c>
      <c r="D8" s="9"/>
      <c r="E8" s="9"/>
      <c r="F8" s="9"/>
      <c r="G8" s="9"/>
      <c r="H8" s="9"/>
      <c r="I8" s="9"/>
      <c r="J8" s="9"/>
      <c r="K8" s="9"/>
      <c r="L8" s="9"/>
      <c r="M8" s="9"/>
      <c r="N8" s="9"/>
      <c r="O8" s="9"/>
      <c r="P8" s="9"/>
    </row>
    <row r="9" spans="1:16" ht="15" customHeight="1" x14ac:dyDescent="0.35">
      <c r="A9" s="29" t="s">
        <v>811</v>
      </c>
      <c r="B9" s="30">
        <f>SUM($J$23:$J$65)</f>
        <v>36</v>
      </c>
      <c r="C9" s="9" t="s">
        <v>812</v>
      </c>
      <c r="D9" s="9"/>
      <c r="E9" s="9"/>
      <c r="F9" s="9"/>
      <c r="G9" s="9"/>
      <c r="H9" s="9"/>
      <c r="I9" s="9"/>
      <c r="J9" s="9"/>
      <c r="K9" s="9"/>
      <c r="L9" s="9"/>
      <c r="M9" s="9"/>
      <c r="N9" s="9"/>
      <c r="O9" s="9"/>
      <c r="P9" s="9"/>
    </row>
    <row r="10" spans="1:16" ht="15" customHeight="1" x14ac:dyDescent="0.35">
      <c r="A10" s="29" t="s">
        <v>813</v>
      </c>
      <c r="B10" s="30">
        <f>COUNTIFS($F$23:$F$65,"Y",$G$23:$G$65,"N")</f>
        <v>3</v>
      </c>
      <c r="C10" s="9" t="s">
        <v>814</v>
      </c>
      <c r="D10" s="9"/>
      <c r="E10" s="9"/>
      <c r="F10" s="9"/>
      <c r="G10" s="9"/>
      <c r="H10" s="9"/>
      <c r="I10" s="9"/>
      <c r="J10" s="9"/>
      <c r="K10" s="9"/>
      <c r="L10" s="9"/>
      <c r="M10" s="9"/>
      <c r="N10" s="9"/>
      <c r="O10" s="9"/>
      <c r="P10" s="9"/>
    </row>
    <row r="11" spans="1:16" ht="15" customHeight="1" x14ac:dyDescent="0.35">
      <c r="A11" s="29" t="s">
        <v>815</v>
      </c>
      <c r="B11" s="30">
        <f>COUNTIF($F$23:$F$65,"N")</f>
        <v>4</v>
      </c>
    </row>
    <row r="12" spans="1:16" ht="15" customHeight="1" x14ac:dyDescent="0.35">
      <c r="A12" s="29" t="s">
        <v>816</v>
      </c>
      <c r="B12" s="31">
        <f>IF(B8=0,0,B9/B8*100)</f>
        <v>92.307692307692307</v>
      </c>
      <c r="C12" s="9" t="s">
        <v>817</v>
      </c>
      <c r="D12" s="9"/>
      <c r="E12" s="9"/>
      <c r="F12" s="9"/>
      <c r="G12" s="9"/>
      <c r="H12" s="9"/>
      <c r="I12" s="9"/>
      <c r="J12" s="9"/>
      <c r="K12" s="9"/>
      <c r="L12" s="9"/>
      <c r="M12" s="9"/>
      <c r="N12" s="9"/>
      <c r="O12" s="9"/>
      <c r="P12" s="9"/>
    </row>
    <row r="13" spans="1:16" ht="15" customHeight="1" x14ac:dyDescent="0.35">
      <c r="A13" s="29" t="s">
        <v>818</v>
      </c>
      <c r="B13" s="32">
        <f>SUM($K$23:$K$65)</f>
        <v>1033.3333333333333</v>
      </c>
    </row>
    <row r="14" spans="1:16" ht="15" customHeight="1" x14ac:dyDescent="0.35">
      <c r="A14" s="29" t="s">
        <v>819</v>
      </c>
      <c r="B14" s="33">
        <f>IF(B9=0,0,B13/B9)</f>
        <v>28.703703703703702</v>
      </c>
      <c r="C14" s="9" t="s">
        <v>820</v>
      </c>
      <c r="D14" s="9"/>
      <c r="E14" s="9"/>
      <c r="F14" s="9"/>
      <c r="G14" s="9"/>
      <c r="H14" s="9"/>
      <c r="I14" s="9"/>
      <c r="J14" s="9"/>
      <c r="K14" s="9"/>
      <c r="L14" s="9"/>
      <c r="M14" s="9"/>
      <c r="N14" s="9"/>
      <c r="O14" s="9"/>
      <c r="P14" s="9"/>
    </row>
    <row r="15" spans="1:16" ht="15" customHeight="1" x14ac:dyDescent="0.35">
      <c r="A15" s="29" t="s">
        <v>821</v>
      </c>
      <c r="B15" s="30" t="str">
        <f>INDEX('Risk Bands (Config)'!$A$9:$A$13,MATCH(B14,'Risk Bands (Config)'!$D$9:$D$13,1))</f>
        <v>Yellow</v>
      </c>
      <c r="C15" s="9" t="s">
        <v>822</v>
      </c>
      <c r="D15" s="9"/>
      <c r="E15" s="9"/>
      <c r="F15" s="9"/>
      <c r="G15" s="9"/>
      <c r="H15" s="9"/>
      <c r="I15" s="9"/>
      <c r="J15" s="9"/>
      <c r="K15" s="9"/>
      <c r="L15" s="9"/>
      <c r="M15" s="9"/>
      <c r="N15" s="9"/>
      <c r="O15" s="9"/>
      <c r="P15" s="9"/>
    </row>
    <row r="16" spans="1:16" ht="15" customHeight="1" x14ac:dyDescent="0.35">
      <c r="A16" s="29" t="s">
        <v>823</v>
      </c>
      <c r="B16" s="34" t="str">
        <f>IF(SUM($L$23:$L$65)+SUM($F$74:$F$76)&gt;0,"YES","NO")</f>
        <v>YES</v>
      </c>
      <c r="C16" s="9" t="s">
        <v>824</v>
      </c>
      <c r="D16" s="9"/>
      <c r="E16" s="9"/>
      <c r="F16" s="9"/>
      <c r="G16" s="9"/>
      <c r="H16" s="9"/>
      <c r="I16" s="9"/>
      <c r="J16" s="9"/>
      <c r="K16" s="9"/>
      <c r="L16" s="9"/>
      <c r="M16" s="9"/>
      <c r="N16" s="9"/>
      <c r="O16" s="9"/>
      <c r="P16" s="9"/>
    </row>
    <row r="17" spans="1:16" ht="15" customHeight="1" x14ac:dyDescent="0.35">
      <c r="A17" s="27" t="s">
        <v>825</v>
      </c>
      <c r="B17" s="34" t="str">
        <f>$M$65</f>
        <v>EWS-026</v>
      </c>
    </row>
    <row r="18" spans="1:16" ht="15" customHeight="1" x14ac:dyDescent="0.35">
      <c r="A18" s="29" t="s">
        <v>826</v>
      </c>
      <c r="B18" s="35" t="str">
        <f>IF(B16="YES","CRITICAL (Override)",IF(B12&lt;'Risk Bands (Config)'!$B$16,"INSUFFICIENT DATA (band: "&amp;B15&amp;")",B15))</f>
        <v>CRITICAL (Override)</v>
      </c>
    </row>
    <row r="19" spans="1:16" ht="15" customHeight="1" x14ac:dyDescent="0.35">
      <c r="A19" s="29" t="s">
        <v>827</v>
      </c>
      <c r="B19" s="30" t="str">
        <f>IF(B16="YES",INDEX('Risk Bands (Config)'!$E$9:$E$13,5),IF(B12&lt;'Risk Bands (Config)'!$B$16,"Low data coverage — treat score as low-confidence; obtain missing data before acting.",INDEX('Risk Bands (Config)'!$E$9:$E$13,MATCH(B14,'Risk Bands (Config)'!$D$9:$D$13,1))))</f>
        <v>Severe EWS / Immediate Intervention</v>
      </c>
    </row>
    <row r="20" spans="1:16" ht="15" customHeight="1" x14ac:dyDescent="0.35">
      <c r="A20" s="8" t="s">
        <v>828</v>
      </c>
      <c r="B20" s="8"/>
      <c r="C20" s="8"/>
      <c r="D20" s="8"/>
      <c r="E20" s="8"/>
      <c r="F20" s="8"/>
      <c r="G20" s="8"/>
      <c r="H20" s="8"/>
      <c r="I20" s="8"/>
      <c r="J20" s="8"/>
      <c r="K20" s="8"/>
      <c r="L20" s="8"/>
      <c r="M20" s="8"/>
      <c r="N20" s="8"/>
      <c r="O20" s="8"/>
      <c r="P20" s="8"/>
    </row>
    <row r="22" spans="1:16" ht="39.75" customHeight="1" x14ac:dyDescent="0.35">
      <c r="A22" s="36" t="s">
        <v>14</v>
      </c>
      <c r="B22" s="36" t="s">
        <v>16</v>
      </c>
      <c r="C22" s="36" t="s">
        <v>15</v>
      </c>
      <c r="D22" s="36" t="s">
        <v>829</v>
      </c>
      <c r="E22" s="36" t="s">
        <v>27</v>
      </c>
      <c r="F22" s="36" t="s">
        <v>830</v>
      </c>
      <c r="G22" s="36" t="s">
        <v>831</v>
      </c>
      <c r="H22" s="36" t="s">
        <v>832</v>
      </c>
      <c r="I22" s="36" t="s">
        <v>358</v>
      </c>
      <c r="J22" s="36" t="s">
        <v>833</v>
      </c>
      <c r="K22" s="36" t="s">
        <v>834</v>
      </c>
      <c r="L22" s="36" t="s">
        <v>835</v>
      </c>
      <c r="M22" s="36" t="s">
        <v>836</v>
      </c>
      <c r="N22" s="36" t="s">
        <v>362</v>
      </c>
      <c r="O22" s="36" t="s">
        <v>363</v>
      </c>
      <c r="P22" s="36" t="s">
        <v>364</v>
      </c>
    </row>
    <row r="23" spans="1:16" ht="60" customHeight="1" x14ac:dyDescent="0.35">
      <c r="A23" s="22" t="s">
        <v>28</v>
      </c>
      <c r="B23" s="19" t="s">
        <v>30</v>
      </c>
      <c r="C23" s="18" t="s">
        <v>29</v>
      </c>
      <c r="D23" s="23" t="str">
        <f>INDEX('Indicator Master'!$F$4:$F$46,MATCH($A23,'Indicator Master'!$A$4:$A$46,0))</f>
        <v>No</v>
      </c>
      <c r="E23" s="22">
        <f>INDEX('Indicator Master'!$N$4:$N$46,MATCH($A23,'Indicator Master'!$A$4:$A$46,0))</f>
        <v>30</v>
      </c>
      <c r="F23" s="37" t="s">
        <v>837</v>
      </c>
      <c r="G23" s="37" t="s">
        <v>837</v>
      </c>
      <c r="H23" s="38" t="s">
        <v>838</v>
      </c>
      <c r="I23" s="37">
        <v>30</v>
      </c>
      <c r="J23" s="23">
        <f t="shared" ref="J23:J65" si="0">IF(AND($F23="Y",$G23="Y",ISNUMBER($I23)),1,0)</f>
        <v>1</v>
      </c>
      <c r="K23" s="39">
        <f>IF($J23=1,$I23/$E23*'Risk Bands (Config)'!$B$5,"")</f>
        <v>100</v>
      </c>
      <c r="L23" s="23">
        <f>IF(AND($D23="Yes",$J23=1,$I23/$E23*'Risk Bands (Config)'!$B$5&gt;='Risk Bands (Config)'!$B$6),1,0)</f>
        <v>0</v>
      </c>
      <c r="M23" s="40" t="str">
        <f>IF($L23=1,$A23,"")</f>
        <v/>
      </c>
      <c r="N23" s="19" t="str">
        <f>IF($J23=1,IFERROR(INDEX('Scoring Engine (Rules)'!$O$5:$O$160,MATCH($A23&amp;"|"&amp;$I23,'Scoring Engine (Rules)'!$R$5:$R$160,0)),""),"")</f>
        <v>Severe / critical — utilisation above 95% for 30+ days; chronic over-reliance — possible inability to rotate WC, or diversion/ever-greening.</v>
      </c>
      <c r="O23" s="19" t="str">
        <f>IF($J23=1,IFERROR(INDEX('Scoring Engine (Rules)'!$P$5:$P$160,MATCH($A23&amp;"|"&amp;$I23,'Scoring Engine (Rules)'!$R$5:$R$160,0)),""),"")</f>
        <v>1) Restrict fresh drawals pending review. 2) Investigate diversion (routing gaps, ad-hoc pattern). 3) Full viability / limit-rationalisation review; escalate to Credit.</v>
      </c>
      <c r="P23" s="19" t="str">
        <f>IF($J23=1,IFERROR(INDEX('Scoring Engine (Rules)'!$Q$5:$Q$160,MATCH($A23&amp;"|"&amp;$I23,'Scoring Engine (Rules)'!$R$5:$R$160,0)),""),"")</f>
        <v>Credit Head / Risk</v>
      </c>
    </row>
    <row r="24" spans="1:16" ht="60" customHeight="1" x14ac:dyDescent="0.35">
      <c r="A24" s="22" t="s">
        <v>41</v>
      </c>
      <c r="B24" s="19" t="s">
        <v>42</v>
      </c>
      <c r="C24" s="18" t="s">
        <v>29</v>
      </c>
      <c r="D24" s="23" t="str">
        <f>INDEX('Indicator Master'!$F$4:$F$46,MATCH($A24,'Indicator Master'!$A$4:$A$46,0))</f>
        <v>No</v>
      </c>
      <c r="E24" s="22">
        <f>INDEX('Indicator Master'!$N$4:$N$46,MATCH($A24,'Indicator Master'!$A$4:$A$46,0))</f>
        <v>30</v>
      </c>
      <c r="F24" s="37" t="s">
        <v>837</v>
      </c>
      <c r="G24" s="37" t="s">
        <v>837</v>
      </c>
      <c r="H24" s="38" t="s">
        <v>839</v>
      </c>
      <c r="I24" s="37">
        <v>10</v>
      </c>
      <c r="J24" s="23">
        <f t="shared" si="0"/>
        <v>1</v>
      </c>
      <c r="K24" s="39">
        <f>IF($J24=1,$I24/$E24*'Risk Bands (Config)'!$B$5,"")</f>
        <v>33.333333333333329</v>
      </c>
      <c r="L24" s="23">
        <f>IF(AND($D24="Yes",$J24=1,$I24/$E24*'Risk Bands (Config)'!$B$5&gt;='Risk Bands (Config)'!$B$6),1,0)</f>
        <v>0</v>
      </c>
      <c r="M24" s="40" t="str">
        <f t="shared" ref="M24:M65" si="1">$M23&amp;IF($L24=1,IF($M23="","",", ")&amp;$A24,"")</f>
        <v/>
      </c>
      <c r="N24" s="19" t="str">
        <f>IF($J24=1,IFERROR(INDEX('Scoring Engine (Rules)'!$O$5:$O$160,MATCH($A24&amp;"|"&amp;$I24,'Scoring Engine (Rules)'!$R$5:$R$160,0)),""),"")</f>
        <v>Early warning — two ad-hoc requests; occasional cash-flow mismatch.</v>
      </c>
      <c r="O24" s="19" t="str">
        <f>IF($J24=1,IFERROR(INDEX('Scoring Engine (Rules)'!$P$5:$P$160,MATCH($A24&amp;"|"&amp;$I24,'Scoring Engine (Rules)'!$R$5:$R$160,0)),""),"")</f>
        <v>1) Ascertain the reason for each request. 2) Check whether permanent WC is under-assessed. 3) Grant only against a documented need.</v>
      </c>
      <c r="P24" s="19" t="str">
        <f>IF($J24=1,IFERROR(INDEX('Scoring Engine (Rules)'!$Q$5:$Q$160,MATCH($A24&amp;"|"&amp;$I24,'Scoring Engine (Rules)'!$R$5:$R$160,0)),""),"")</f>
        <v>RM + Credit Analyst</v>
      </c>
    </row>
    <row r="25" spans="1:16" ht="60" customHeight="1" x14ac:dyDescent="0.35">
      <c r="A25" s="22" t="s">
        <v>49</v>
      </c>
      <c r="B25" s="19" t="s">
        <v>50</v>
      </c>
      <c r="C25" s="18" t="s">
        <v>29</v>
      </c>
      <c r="D25" s="23" t="str">
        <f>INDEX('Indicator Master'!$F$4:$F$46,MATCH($A25,'Indicator Master'!$A$4:$A$46,0))</f>
        <v>Yes</v>
      </c>
      <c r="E25" s="22">
        <f>INDEX('Indicator Master'!$N$4:$N$46,MATCH($A25,'Indicator Master'!$A$4:$A$46,0))</f>
        <v>35</v>
      </c>
      <c r="F25" s="37" t="s">
        <v>837</v>
      </c>
      <c r="G25" s="37" t="s">
        <v>837</v>
      </c>
      <c r="H25" s="38" t="s">
        <v>840</v>
      </c>
      <c r="I25" s="37">
        <v>20</v>
      </c>
      <c r="J25" s="23">
        <f t="shared" si="0"/>
        <v>1</v>
      </c>
      <c r="K25" s="39">
        <f>IF($J25=1,$I25/$E25*'Risk Bands (Config)'!$B$5,"")</f>
        <v>57.142857142857139</v>
      </c>
      <c r="L25" s="23">
        <f>IF(AND($D25="Yes",$J25=1,$I25/$E25*'Risk Bands (Config)'!$B$5&gt;='Risk Bands (Config)'!$B$6),1,0)</f>
        <v>0</v>
      </c>
      <c r="M25" s="40" t="str">
        <f t="shared" si="1"/>
        <v/>
      </c>
      <c r="N25" s="19" t="str">
        <f>IF($J25=1,IFERROR(INDEX('Scoring Engine (Rules)'!$O$5:$O$160,MATCH($A25&amp;"|"&amp;$I25,'Scoring Engine (Rules)'!$R$5:$R$160,0)),""),"")</f>
        <v>Elevated concern — credits down 20–40%; material drop — genuine sales fall or turnover being diverted elsewhere.</v>
      </c>
      <c r="O25" s="19" t="str">
        <f>IF($J25=1,IFERROR(INDEX('Scoring Engine (Rules)'!$P$5:$P$160,MATCH($A25&amp;"|"&amp;$I25,'Scoring Engine (Rules)'!$R$5:$R$160,0)),""),"")</f>
        <v>1) Stipulate proportionate turnover routing through the bank. 2) Verify sales via GST returns. 3) Monitor monthly credits vs sales.</v>
      </c>
      <c r="P25" s="19" t="str">
        <f>IF($J25=1,IFERROR(INDEX('Scoring Engine (Rules)'!$Q$5:$Q$160,MATCH($A25&amp;"|"&amp;$I25,'Scoring Engine (Rules)'!$R$5:$R$160,0)),""),"")</f>
        <v>RM + Credit Analyst</v>
      </c>
    </row>
    <row r="26" spans="1:16" ht="60" customHeight="1" x14ac:dyDescent="0.35">
      <c r="A26" s="22" t="s">
        <v>57</v>
      </c>
      <c r="B26" s="19" t="s">
        <v>58</v>
      </c>
      <c r="C26" s="18" t="s">
        <v>29</v>
      </c>
      <c r="D26" s="23" t="str">
        <f>INDEX('Indicator Master'!$F$4:$F$46,MATCH($A26,'Indicator Master'!$A$4:$A$46,0))</f>
        <v>No</v>
      </c>
      <c r="E26" s="22">
        <f>INDEX('Indicator Master'!$N$4:$N$46,MATCH($A26,'Indicator Master'!$A$4:$A$46,0))</f>
        <v>25</v>
      </c>
      <c r="F26" s="37" t="s">
        <v>837</v>
      </c>
      <c r="G26" s="37" t="s">
        <v>837</v>
      </c>
      <c r="H26" s="38" t="s">
        <v>841</v>
      </c>
      <c r="I26" s="37">
        <v>5</v>
      </c>
      <c r="J26" s="23">
        <f t="shared" si="0"/>
        <v>1</v>
      </c>
      <c r="K26" s="39">
        <f>IF($J26=1,$I26/$E26*'Risk Bands (Config)'!$B$5,"")</f>
        <v>20</v>
      </c>
      <c r="L26" s="23">
        <f>IF(AND($D26="Yes",$J26=1,$I26/$E26*'Risk Bands (Config)'!$B$5&gt;='Risk Bands (Config)'!$B$6),1,0)</f>
        <v>0</v>
      </c>
      <c r="M26" s="40" t="str">
        <f t="shared" si="1"/>
        <v/>
      </c>
      <c r="N26" s="19" t="str">
        <f>IF($J26=1,IFERROR(INDEX('Scoring Engine (Rules)'!$O$5:$O$160,MATCH($A26&amp;"|"&amp;$I26,'Scoring Engine (Rules)'!$R$5:$R$160,0)),""),"")</f>
        <v>Early warning — one conduct event; isolated slip, likely a timing mismatch.</v>
      </c>
      <c r="O26" s="19" t="str">
        <f>IF($J26=1,IFERROR(INDEX('Scoring Engine (Rules)'!$P$5:$P$160,MATCH($A26&amp;"|"&amp;$I26,'Scoring Engine (Rules)'!$R$5:$R$160,0)),""),"")</f>
        <v>1) Note the event and reason. 2) Caution the borrower informally. 3) Watch the next cycle.</v>
      </c>
      <c r="P26" s="19" t="str">
        <f>IF($J26=1,IFERROR(INDEX('Scoring Engine (Rules)'!$Q$5:$Q$160,MATCH($A26&amp;"|"&amp;$I26,'Scoring Engine (Rules)'!$R$5:$R$160,0)),""),"")</f>
        <v>Relationship Manager (Branch)</v>
      </c>
    </row>
    <row r="27" spans="1:16" ht="60" customHeight="1" x14ac:dyDescent="0.35">
      <c r="A27" s="22" t="s">
        <v>63</v>
      </c>
      <c r="B27" s="19" t="s">
        <v>64</v>
      </c>
      <c r="C27" s="18" t="s">
        <v>29</v>
      </c>
      <c r="D27" s="23" t="str">
        <f>INDEX('Indicator Master'!$F$4:$F$46,MATCH($A27,'Indicator Master'!$A$4:$A$46,0))</f>
        <v>No</v>
      </c>
      <c r="E27" s="22">
        <f>INDEX('Indicator Master'!$N$4:$N$46,MATCH($A27,'Indicator Master'!$A$4:$A$46,0))</f>
        <v>40</v>
      </c>
      <c r="F27" s="37" t="s">
        <v>837</v>
      </c>
      <c r="G27" s="37" t="s">
        <v>837</v>
      </c>
      <c r="H27" s="38" t="s">
        <v>842</v>
      </c>
      <c r="I27" s="37">
        <v>0</v>
      </c>
      <c r="J27" s="23">
        <f t="shared" si="0"/>
        <v>1</v>
      </c>
      <c r="K27" s="39">
        <f>IF($J27=1,$I27/$E27*'Risk Bands (Config)'!$B$5,"")</f>
        <v>0</v>
      </c>
      <c r="L27" s="23">
        <f>IF(AND($D27="Yes",$J27=1,$I27/$E27*'Risk Bands (Config)'!$B$5&gt;='Risk Bands (Config)'!$B$6),1,0)</f>
        <v>0</v>
      </c>
      <c r="M27" s="40" t="str">
        <f t="shared" si="1"/>
        <v/>
      </c>
      <c r="N27" s="19" t="str">
        <f>IF($J27=1,IFERROR(INDEX('Scoring Engine (Rules)'!$O$5:$O$160,MATCH($A27&amp;"|"&amp;$I27,'Scoring Engine (Rules)'!$R$5:$R$160,0)),""),"")</f>
        <v>Normal — repayments from the borrower's own operating cash flows; healthy.</v>
      </c>
      <c r="O27" s="19" t="str">
        <f>IF($J27=1,IFERROR(INDEX('Scoring Engine (Rules)'!$P$5:$P$160,MATCH($A27&amp;"|"&amp;$I27,'Scoring Engine (Rules)'!$R$5:$R$160,0)),""),"")</f>
        <v>No remedial action required. Continue routine monitoring at the standard review cycle and record the reading.</v>
      </c>
      <c r="P27" s="19" t="str">
        <f>IF($J27=1,IFERROR(INDEX('Scoring Engine (Rules)'!$Q$5:$Q$160,MATCH($A27&amp;"|"&amp;$I27,'Scoring Engine (Rules)'!$R$5:$R$160,0)),""),"")</f>
        <v>RM (routine)</v>
      </c>
    </row>
    <row r="28" spans="1:16" ht="60" customHeight="1" x14ac:dyDescent="0.35">
      <c r="A28" s="22" t="s">
        <v>70</v>
      </c>
      <c r="B28" s="19" t="s">
        <v>71</v>
      </c>
      <c r="C28" s="18" t="s">
        <v>29</v>
      </c>
      <c r="D28" s="23" t="str">
        <f>INDEX('Indicator Master'!$F$4:$F$46,MATCH($A28,'Indicator Master'!$A$4:$A$46,0))</f>
        <v>No</v>
      </c>
      <c r="E28" s="22">
        <f>INDEX('Indicator Master'!$N$4:$N$46,MATCH($A28,'Indicator Master'!$A$4:$A$46,0))</f>
        <v>30</v>
      </c>
      <c r="F28" s="37" t="s">
        <v>837</v>
      </c>
      <c r="G28" s="37" t="s">
        <v>837</v>
      </c>
      <c r="H28" s="38" t="s">
        <v>843</v>
      </c>
      <c r="I28" s="37">
        <v>10</v>
      </c>
      <c r="J28" s="23">
        <f t="shared" si="0"/>
        <v>1</v>
      </c>
      <c r="K28" s="39">
        <f>IF($J28=1,$I28/$E28*'Risk Bands (Config)'!$B$5,"")</f>
        <v>33.333333333333329</v>
      </c>
      <c r="L28" s="23">
        <f>IF(AND($D28="Yes",$J28=1,$I28/$E28*'Risk Bands (Config)'!$B$5&gt;='Risk Bands (Config)'!$B$6),1,0)</f>
        <v>0</v>
      </c>
      <c r="M28" s="40" t="str">
        <f t="shared" si="1"/>
        <v/>
      </c>
      <c r="N28" s="19" t="str">
        <f>IF($J28=1,IFERROR(INDEX('Scoring Engine (Rules)'!$O$5:$O$160,MATCH($A28&amp;"|"&amp;$I28,'Scoring Engine (Rules)'!$R$5:$R$160,0)),""),"")</f>
        <v>Early warning — up to 10% variance; minor reconciliation gap, likely timing or method.</v>
      </c>
      <c r="O28" s="19" t="str">
        <f>IF($J28=1,IFERROR(INDEX('Scoring Engine (Rules)'!$P$5:$P$160,MATCH($A28&amp;"|"&amp;$I28,'Scoring Engine (Rules)'!$R$5:$R$160,0)),""),"")</f>
        <v>1) Reconcile the statement to audited figures. 2) Seek clarification on the small gap.</v>
      </c>
      <c r="P28" s="19" t="str">
        <f>IF($J28=1,IFERROR(INDEX('Scoring Engine (Rules)'!$Q$5:$Q$160,MATCH($A28&amp;"|"&amp;$I28,'Scoring Engine (Rules)'!$R$5:$R$160,0)),""),"")</f>
        <v>RM + Credit Analyst</v>
      </c>
    </row>
    <row r="29" spans="1:16" ht="60" customHeight="1" x14ac:dyDescent="0.35">
      <c r="A29" s="22" t="s">
        <v>80</v>
      </c>
      <c r="B29" s="19" t="s">
        <v>81</v>
      </c>
      <c r="C29" s="18" t="s">
        <v>29</v>
      </c>
      <c r="D29" s="23" t="str">
        <f>INDEX('Indicator Master'!$F$4:$F$46,MATCH($A29,'Indicator Master'!$A$4:$A$46,0))</f>
        <v>Yes</v>
      </c>
      <c r="E29" s="22">
        <f>INDEX('Indicator Master'!$N$4:$N$46,MATCH($A29,'Indicator Master'!$A$4:$A$46,0))</f>
        <v>35</v>
      </c>
      <c r="F29" s="37" t="s">
        <v>837</v>
      </c>
      <c r="G29" s="37" t="s">
        <v>837</v>
      </c>
      <c r="H29" s="38" t="s">
        <v>844</v>
      </c>
      <c r="I29" s="37">
        <v>20</v>
      </c>
      <c r="J29" s="23">
        <f t="shared" si="0"/>
        <v>1</v>
      </c>
      <c r="K29" s="39">
        <f>IF($J29=1,$I29/$E29*'Risk Bands (Config)'!$B$5,"")</f>
        <v>57.142857142857139</v>
      </c>
      <c r="L29" s="23">
        <f>IF(AND($D29="Yes",$J29=1,$I29/$E29*'Risk Bands (Config)'!$B$5&gt;='Risk Bands (Config)'!$B$6),1,0)</f>
        <v>0</v>
      </c>
      <c r="M29" s="40" t="str">
        <f t="shared" si="1"/>
        <v/>
      </c>
      <c r="N29" s="19" t="str">
        <f>IF($J29=1,IFERROR(INDEX('Scoring Engine (Rules)'!$O$5:$O$160,MATCH($A29&amp;"|"&amp;$I29,'Scoring Engine (Rules)'!$R$5:$R$160,0)),""),"")</f>
        <v>Elevated concern — turnover down 20–40%; a genuine downturn or loss of key customers.</v>
      </c>
      <c r="O29" s="19" t="str">
        <f>IF($J29=1,IFERROR(INDEX('Scoring Engine (Rules)'!$P$5:$P$160,MATCH($A29&amp;"|"&amp;$I29,'Scoring Engine (Rules)'!$R$5:$R$160,0)),""),"")</f>
        <v>1) Reassess repayment capacity and viability with a sensitivity run. 2) Consider whether restructuring is needed. 3) Escalate to Credit.</v>
      </c>
      <c r="P29" s="19" t="str">
        <f>IF($J29=1,IFERROR(INDEX('Scoring Engine (Rules)'!$Q$5:$Q$160,MATCH($A29&amp;"|"&amp;$I29,'Scoring Engine (Rules)'!$R$5:$R$160,0)),""),"")</f>
        <v>RM + Credit Analyst</v>
      </c>
    </row>
    <row r="30" spans="1:16" ht="60" customHeight="1" x14ac:dyDescent="0.35">
      <c r="A30" s="22" t="s">
        <v>86</v>
      </c>
      <c r="B30" s="19" t="s">
        <v>87</v>
      </c>
      <c r="C30" s="18" t="s">
        <v>29</v>
      </c>
      <c r="D30" s="23" t="str">
        <f>INDEX('Indicator Master'!$F$4:$F$46,MATCH($A30,'Indicator Master'!$A$4:$A$46,0))</f>
        <v>No</v>
      </c>
      <c r="E30" s="22">
        <f>INDEX('Indicator Master'!$N$4:$N$46,MATCH($A30,'Indicator Master'!$A$4:$A$46,0))</f>
        <v>35</v>
      </c>
      <c r="F30" s="37" t="s">
        <v>837</v>
      </c>
      <c r="G30" s="37" t="s">
        <v>837</v>
      </c>
      <c r="H30" s="38" t="s">
        <v>845</v>
      </c>
      <c r="I30" s="37">
        <v>10</v>
      </c>
      <c r="J30" s="23">
        <f t="shared" si="0"/>
        <v>1</v>
      </c>
      <c r="K30" s="39">
        <f>IF($J30=1,$I30/$E30*'Risk Bands (Config)'!$B$5,"")</f>
        <v>28.571428571428569</v>
      </c>
      <c r="L30" s="23">
        <f>IF(AND($D30="Yes",$J30=1,$I30/$E30*'Risk Bands (Config)'!$B$5&gt;='Risk Bands (Config)'!$B$6),1,0)</f>
        <v>0</v>
      </c>
      <c r="M30" s="40" t="str">
        <f t="shared" si="1"/>
        <v/>
      </c>
      <c r="N30" s="19" t="str">
        <f>IF($J30=1,IFERROR(INDEX('Scoring Engine (Rules)'!$O$5:$O$160,MATCH($A30&amp;"|"&amp;$I30,'Scoring Engine (Rules)'!$R$5:$R$160,0)),""),"")</f>
        <v>Early warning — margin fell 10–20%; cost inflation or pricing pressure beginning.</v>
      </c>
      <c r="O30" s="19" t="str">
        <f>IF($J30=1,IFERROR(INDEX('Scoring Engine (Rules)'!$P$5:$P$160,MATCH($A30&amp;"|"&amp;$I30,'Scoring Engine (Rules)'!$R$5:$R$160,0)),""),"")</f>
        <v>1) Analyse cost vs price drivers. 2) Reassess DSCR on updated numbers. 3) Monitor.</v>
      </c>
      <c r="P30" s="19" t="str">
        <f>IF($J30=1,IFERROR(INDEX('Scoring Engine (Rules)'!$Q$5:$Q$160,MATCH($A30&amp;"|"&amp;$I30,'Scoring Engine (Rules)'!$R$5:$R$160,0)),""),"")</f>
        <v>Relationship Manager (Branch)</v>
      </c>
    </row>
    <row r="31" spans="1:16" ht="60" customHeight="1" x14ac:dyDescent="0.35">
      <c r="A31" s="22" t="s">
        <v>91</v>
      </c>
      <c r="B31" s="19" t="s">
        <v>92</v>
      </c>
      <c r="C31" s="18" t="s">
        <v>29</v>
      </c>
      <c r="D31" s="23" t="str">
        <f>INDEX('Indicator Master'!$F$4:$F$46,MATCH($A31,'Indicator Master'!$A$4:$A$46,0))</f>
        <v>No</v>
      </c>
      <c r="E31" s="22">
        <f>INDEX('Indicator Master'!$N$4:$N$46,MATCH($A31,'Indicator Master'!$A$4:$A$46,0))</f>
        <v>30</v>
      </c>
      <c r="F31" s="37" t="s">
        <v>837</v>
      </c>
      <c r="G31" s="37" t="s">
        <v>837</v>
      </c>
      <c r="H31" s="38" t="s">
        <v>846</v>
      </c>
      <c r="I31" s="37">
        <v>20</v>
      </c>
      <c r="J31" s="23">
        <f t="shared" si="0"/>
        <v>1</v>
      </c>
      <c r="K31" s="39">
        <f>IF($J31=1,$I31/$E31*'Risk Bands (Config)'!$B$5,"")</f>
        <v>66.666666666666657</v>
      </c>
      <c r="L31" s="23">
        <f>IF(AND($D31="Yes",$J31=1,$I31/$E31*'Risk Bands (Config)'!$B$5&gt;='Risk Bands (Config)'!$B$6),1,0)</f>
        <v>0</v>
      </c>
      <c r="M31" s="40" t="str">
        <f t="shared" si="1"/>
        <v/>
      </c>
      <c r="N31" s="19" t="str">
        <f>IF($J31=1,IFERROR(INDEX('Scoring Engine (Rules)'!$O$5:$O$160,MATCH($A31&amp;"|"&amp;$I31,'Scoring Engine (Rules)'!$R$5:$R$160,0)),""),"")</f>
        <v>Elevated concern — debtor days +30–60; material tie-up of working capital in receivables.</v>
      </c>
      <c r="O31" s="19" t="str">
        <f>IF($J31=1,IFERROR(INDEX('Scoring Engine (Rules)'!$P$5:$P$160,MATCH($A31&amp;"|"&amp;$I31,'Scoring Engine (Rules)'!$R$5:$R$160,0)),""),"")</f>
        <v>1) Order a receivables audit. 2) Exclude &gt;90-day receivables from DP. 3) Monitor monthly.</v>
      </c>
      <c r="P31" s="19" t="str">
        <f>IF($J31=1,IFERROR(INDEX('Scoring Engine (Rules)'!$Q$5:$Q$160,MATCH($A31&amp;"|"&amp;$I31,'Scoring Engine (Rules)'!$R$5:$R$160,0)),""),"")</f>
        <v>Credit Committee / Zonal Credit</v>
      </c>
    </row>
    <row r="32" spans="1:16" ht="60" customHeight="1" x14ac:dyDescent="0.35">
      <c r="A32" s="22" t="s">
        <v>97</v>
      </c>
      <c r="B32" s="19" t="s">
        <v>98</v>
      </c>
      <c r="C32" s="18" t="s">
        <v>29</v>
      </c>
      <c r="D32" s="23" t="str">
        <f>INDEX('Indicator Master'!$F$4:$F$46,MATCH($A32,'Indicator Master'!$A$4:$A$46,0))</f>
        <v>No</v>
      </c>
      <c r="E32" s="22">
        <f>INDEX('Indicator Master'!$N$4:$N$46,MATCH($A32,'Indicator Master'!$A$4:$A$46,0))</f>
        <v>30</v>
      </c>
      <c r="F32" s="37" t="s">
        <v>837</v>
      </c>
      <c r="G32" s="37" t="s">
        <v>837</v>
      </c>
      <c r="H32" s="38" t="s">
        <v>847</v>
      </c>
      <c r="I32" s="37">
        <v>10</v>
      </c>
      <c r="J32" s="23">
        <f t="shared" si="0"/>
        <v>1</v>
      </c>
      <c r="K32" s="39">
        <f>IF($J32=1,$I32/$E32*'Risk Bands (Config)'!$B$5,"")</f>
        <v>33.333333333333329</v>
      </c>
      <c r="L32" s="23">
        <f>IF(AND($D32="Yes",$J32=1,$I32/$E32*'Risk Bands (Config)'!$B$5&gt;='Risk Bands (Config)'!$B$6),1,0)</f>
        <v>0</v>
      </c>
      <c r="M32" s="40" t="str">
        <f t="shared" si="1"/>
        <v/>
      </c>
      <c r="N32" s="19" t="str">
        <f>IF($J32=1,IFERROR(INDEX('Scoring Engine (Rules)'!$O$5:$O$160,MATCH($A32&amp;"|"&amp;$I32,'Scoring Engine (Rules)'!$R$5:$R$160,0)),""),"")</f>
        <v>Early warning — inventory days +15–30; early slowdown — collection lag or slow-moving stock.</v>
      </c>
      <c r="O32" s="19" t="str">
        <f>IF($J32=1,IFERROR(INDEX('Scoring Engine (Rules)'!$P$5:$P$160,MATCH($A32&amp;"|"&amp;$I32,'Scoring Engine (Rules)'!$R$5:$R$160,0)),""),"")</f>
        <v>1) Review the inventory ageing. 2) Identify overdue/slow items. 3) Monitor.</v>
      </c>
      <c r="P32" s="19" t="str">
        <f>IF($J32=1,IFERROR(INDEX('Scoring Engine (Rules)'!$Q$5:$Q$160,MATCH($A32&amp;"|"&amp;$I32,'Scoring Engine (Rules)'!$R$5:$R$160,0)),""),"")</f>
        <v>RM + Credit Analyst</v>
      </c>
    </row>
    <row r="33" spans="1:16" ht="60" customHeight="1" x14ac:dyDescent="0.35">
      <c r="A33" s="22" t="s">
        <v>103</v>
      </c>
      <c r="B33" s="19" t="s">
        <v>104</v>
      </c>
      <c r="C33" s="18" t="s">
        <v>29</v>
      </c>
      <c r="D33" s="23" t="str">
        <f>INDEX('Indicator Master'!$F$4:$F$46,MATCH($A33,'Indicator Master'!$A$4:$A$46,0))</f>
        <v>No</v>
      </c>
      <c r="E33" s="22">
        <f>INDEX('Indicator Master'!$N$4:$N$46,MATCH($A33,'Indicator Master'!$A$4:$A$46,0))</f>
        <v>30</v>
      </c>
      <c r="F33" s="37" t="s">
        <v>837</v>
      </c>
      <c r="G33" s="37" t="s">
        <v>837</v>
      </c>
      <c r="H33" s="38" t="s">
        <v>847</v>
      </c>
      <c r="I33" s="37">
        <v>10</v>
      </c>
      <c r="J33" s="23">
        <f t="shared" si="0"/>
        <v>1</v>
      </c>
      <c r="K33" s="39">
        <f>IF($J33=1,$I33/$E33*'Risk Bands (Config)'!$B$5,"")</f>
        <v>33.333333333333329</v>
      </c>
      <c r="L33" s="23">
        <f>IF(AND($D33="Yes",$J33=1,$I33/$E33*'Risk Bands (Config)'!$B$5&gt;='Risk Bands (Config)'!$B$6),1,0)</f>
        <v>0</v>
      </c>
      <c r="M33" s="40" t="str">
        <f t="shared" si="1"/>
        <v/>
      </c>
      <c r="N33" s="19" t="str">
        <f>IF($J33=1,IFERROR(INDEX('Scoring Engine (Rules)'!$O$5:$O$160,MATCH($A33&amp;"|"&amp;$I33,'Scoring Engine (Rules)'!$R$5:$R$160,0)),""),"")</f>
        <v>Early warning — creditor days +15–30; stretching payables — mild liquidity tightening or negotiated terms.</v>
      </c>
      <c r="O33" s="19" t="str">
        <f>IF($J33=1,IFERROR(INDEX('Scoring Engine (Rules)'!$P$5:$P$160,MATCH($A33&amp;"|"&amp;$I33,'Scoring Engine (Rules)'!$R$5:$R$160,0)),""),"")</f>
        <v>1) Review payables ageing and reason. 2) Check for supply-side disputes. 3) Monitor.</v>
      </c>
      <c r="P33" s="19" t="str">
        <f>IF($J33=1,IFERROR(INDEX('Scoring Engine (Rules)'!$Q$5:$Q$160,MATCH($A33&amp;"|"&amp;$I33,'Scoring Engine (Rules)'!$R$5:$R$160,0)),""),"")</f>
        <v>RM + Credit Analyst</v>
      </c>
    </row>
    <row r="34" spans="1:16" ht="60" customHeight="1" x14ac:dyDescent="0.35">
      <c r="A34" s="22" t="s">
        <v>108</v>
      </c>
      <c r="B34" s="19" t="s">
        <v>109</v>
      </c>
      <c r="C34" s="18" t="s">
        <v>29</v>
      </c>
      <c r="D34" s="23" t="str">
        <f>INDEX('Indicator Master'!$F$4:$F$46,MATCH($A34,'Indicator Master'!$A$4:$A$46,0))</f>
        <v>No</v>
      </c>
      <c r="E34" s="22">
        <f>INDEX('Indicator Master'!$N$4:$N$46,MATCH($A34,'Indicator Master'!$A$4:$A$46,0))</f>
        <v>40</v>
      </c>
      <c r="F34" s="37" t="s">
        <v>837</v>
      </c>
      <c r="G34" s="37" t="s">
        <v>837</v>
      </c>
      <c r="H34" s="38" t="s">
        <v>846</v>
      </c>
      <c r="I34" s="37">
        <v>30</v>
      </c>
      <c r="J34" s="23">
        <f t="shared" si="0"/>
        <v>1</v>
      </c>
      <c r="K34" s="39">
        <f>IF($J34=1,$I34/$E34*'Risk Bands (Config)'!$B$5,"")</f>
        <v>75</v>
      </c>
      <c r="L34" s="23">
        <f>IF(AND($D34="Yes",$J34=1,$I34/$E34*'Risk Bands (Config)'!$B$5&gt;='Risk Bands (Config)'!$B$6),1,0)</f>
        <v>0</v>
      </c>
      <c r="M34" s="40" t="str">
        <f t="shared" si="1"/>
        <v/>
      </c>
      <c r="N34" s="19" t="str">
        <f>IF($J34=1,IFERROR(INDEX('Scoring Engine (Rules)'!$O$5:$O$160,MATCH($A34&amp;"|"&amp;$I34,'Scoring Engine (Rules)'!$R$5:$R$160,0)),""),"")</f>
        <v>High concern — provisions up &gt;25–50%; material deterioration in asset quality.</v>
      </c>
      <c r="O34" s="19" t="str">
        <f>IF($J34=1,IFERROR(INDEX('Scoring Engine (Rules)'!$P$5:$P$160,MATCH($A34&amp;"|"&amp;$I34,'Scoring Engine (Rules)'!$R$5:$R$160,0)),""),"")</f>
        <v>1) Reassess viability given the losses. 2) Enhanced monitoring. 3) Escalate to Credit.</v>
      </c>
      <c r="P34" s="19" t="str">
        <f>IF($J34=1,IFERROR(INDEX('Scoring Engine (Rules)'!$Q$5:$Q$160,MATCH($A34&amp;"|"&amp;$I34,'Scoring Engine (Rules)'!$R$5:$R$160,0)),""),"")</f>
        <v>Credit Committee / Zonal Credit</v>
      </c>
    </row>
    <row r="35" spans="1:16" ht="60" customHeight="1" x14ac:dyDescent="0.35">
      <c r="A35" s="22" t="s">
        <v>115</v>
      </c>
      <c r="B35" s="19" t="s">
        <v>116</v>
      </c>
      <c r="C35" s="18" t="s">
        <v>29</v>
      </c>
      <c r="D35" s="23" t="str">
        <f>INDEX('Indicator Master'!$F$4:$F$46,MATCH($A35,'Indicator Master'!$A$4:$A$46,0))</f>
        <v>No</v>
      </c>
      <c r="E35" s="22">
        <f>INDEX('Indicator Master'!$N$4:$N$46,MATCH($A35,'Indicator Master'!$A$4:$A$46,0))</f>
        <v>35</v>
      </c>
      <c r="F35" s="37" t="s">
        <v>837</v>
      </c>
      <c r="G35" s="37" t="s">
        <v>837</v>
      </c>
      <c r="H35" s="38" t="s">
        <v>848</v>
      </c>
      <c r="I35" s="37">
        <v>10</v>
      </c>
      <c r="J35" s="23">
        <f t="shared" si="0"/>
        <v>1</v>
      </c>
      <c r="K35" s="39">
        <f>IF($J35=1,$I35/$E35*'Risk Bands (Config)'!$B$5,"")</f>
        <v>28.571428571428569</v>
      </c>
      <c r="L35" s="23">
        <f>IF(AND($D35="Yes",$J35=1,$I35/$E35*'Risk Bands (Config)'!$B$5&gt;='Risk Bands (Config)'!$B$6),1,0)</f>
        <v>0</v>
      </c>
      <c r="M35" s="40" t="str">
        <f t="shared" si="1"/>
        <v/>
      </c>
      <c r="N35" s="19" t="str">
        <f>IF($J35=1,IFERROR(INDEX('Scoring Engine (Rules)'!$O$5:$O$160,MATCH($A35&amp;"|"&amp;$I35,'Scoring Engine (Rules)'!$R$5:$R$160,0)),""),"")</f>
        <v>Early warning — 5–15% variance; mild under-performance vs projections.</v>
      </c>
      <c r="O35" s="19" t="str">
        <f>IF($J35=1,IFERROR(INDEX('Scoring Engine (Rules)'!$P$5:$P$160,MATCH($A35&amp;"|"&amp;$I35,'Scoring Engine (Rules)'!$R$5:$R$160,0)),""),"")</f>
        <v>1) Analyse the variance. 2) Revisit assumptions with the RM. 3) Monitor.</v>
      </c>
      <c r="P35" s="19" t="str">
        <f>IF($J35=1,IFERROR(INDEX('Scoring Engine (Rules)'!$Q$5:$Q$160,MATCH($A35&amp;"|"&amp;$I35,'Scoring Engine (Rules)'!$R$5:$R$160,0)),""),"")</f>
        <v>Relationship Manager (Branch)</v>
      </c>
    </row>
    <row r="36" spans="1:16" ht="60" customHeight="1" x14ac:dyDescent="0.35">
      <c r="A36" s="22" t="s">
        <v>122</v>
      </c>
      <c r="B36" s="19" t="s">
        <v>123</v>
      </c>
      <c r="C36" s="18" t="s">
        <v>29</v>
      </c>
      <c r="D36" s="23" t="str">
        <f>INDEX('Indicator Master'!$F$4:$F$46,MATCH($A36,'Indicator Master'!$A$4:$A$46,0))</f>
        <v>Yes</v>
      </c>
      <c r="E36" s="22">
        <f>INDEX('Indicator Master'!$N$4:$N$46,MATCH($A36,'Indicator Master'!$A$4:$A$46,0))</f>
        <v>35</v>
      </c>
      <c r="F36" s="37" t="s">
        <v>837</v>
      </c>
      <c r="G36" s="37" t="s">
        <v>837</v>
      </c>
      <c r="H36" s="38" t="s">
        <v>849</v>
      </c>
      <c r="I36" s="37">
        <v>10</v>
      </c>
      <c r="J36" s="23">
        <f t="shared" si="0"/>
        <v>1</v>
      </c>
      <c r="K36" s="39">
        <f>IF($J36=1,$I36/$E36*'Risk Bands (Config)'!$B$5,"")</f>
        <v>28.571428571428569</v>
      </c>
      <c r="L36" s="23">
        <f>IF(AND($D36="Yes",$J36=1,$I36/$E36*'Risk Bands (Config)'!$B$5&gt;='Risk Bands (Config)'!$B$6),1,0)</f>
        <v>0</v>
      </c>
      <c r="M36" s="40" t="str">
        <f t="shared" si="1"/>
        <v/>
      </c>
      <c r="N36" s="19" t="str">
        <f>IF($J36=1,IFERROR(INDEX('Scoring Engine (Rules)'!$O$5:$O$160,MATCH($A36&amp;"|"&amp;$I36,'Scoring Engine (Rules)'!$R$5:$R$160,0)),""),"")</f>
        <v>Early warning — up &gt;10–25%; some reliance on unsecured funds — check purpose.</v>
      </c>
      <c r="O36" s="19" t="str">
        <f>IF($J36=1,IFERROR(INDEX('Scoring Engine (Rules)'!$P$5:$P$160,MATCH($A36&amp;"|"&amp;$I36,'Scoring Engine (Rules)'!$R$5:$R$160,0)),""),"")</f>
        <v>1) Assess whether these are quasi-equity or a diversion. 2) Seek subordination/NDU. 3) Monitor.</v>
      </c>
      <c r="P36" s="19" t="str">
        <f>IF($J36=1,IFERROR(INDEX('Scoring Engine (Rules)'!$Q$5:$Q$160,MATCH($A36&amp;"|"&amp;$I36,'Scoring Engine (Rules)'!$R$5:$R$160,0)),""),"")</f>
        <v>Relationship Manager (Branch)</v>
      </c>
    </row>
    <row r="37" spans="1:16" ht="60" customHeight="1" x14ac:dyDescent="0.35">
      <c r="A37" s="22" t="s">
        <v>128</v>
      </c>
      <c r="B37" s="19" t="s">
        <v>129</v>
      </c>
      <c r="C37" s="18" t="s">
        <v>29</v>
      </c>
      <c r="D37" s="23" t="str">
        <f>INDEX('Indicator Master'!$F$4:$F$46,MATCH($A37,'Indicator Master'!$A$4:$A$46,0))</f>
        <v>No</v>
      </c>
      <c r="E37" s="22">
        <f>INDEX('Indicator Master'!$N$4:$N$46,MATCH($A37,'Indicator Master'!$A$4:$A$46,0))</f>
        <v>40</v>
      </c>
      <c r="F37" s="37" t="s">
        <v>837</v>
      </c>
      <c r="G37" s="37" t="s">
        <v>837</v>
      </c>
      <c r="H37" s="38" t="s">
        <v>850</v>
      </c>
      <c r="I37" s="37">
        <v>0</v>
      </c>
      <c r="J37" s="23">
        <f t="shared" si="0"/>
        <v>1</v>
      </c>
      <c r="K37" s="39">
        <f>IF($J37=1,$I37/$E37*'Risk Bands (Config)'!$B$5,"")</f>
        <v>0</v>
      </c>
      <c r="L37" s="23">
        <f>IF(AND($D37="Yes",$J37=1,$I37/$E37*'Risk Bands (Config)'!$B$5&gt;='Risk Bands (Config)'!$B$6),1,0)</f>
        <v>0</v>
      </c>
      <c r="M37" s="40" t="str">
        <f t="shared" si="1"/>
        <v/>
      </c>
      <c r="N37" s="19" t="str">
        <f>IF($J37=1,IFERROR(INDEX('Scoring Engine (Rules)'!$O$5:$O$160,MATCH($A37&amp;"|"&amp;$I37,'Scoring Engine (Rules)'!$R$5:$R$160,0)),""),"")</f>
        <v>Normal — finance cost growing in line with sales; leverage stable.</v>
      </c>
      <c r="O37" s="19" t="str">
        <f>IF($J37=1,IFERROR(INDEX('Scoring Engine (Rules)'!$P$5:$P$160,MATCH($A37&amp;"|"&amp;$I37,'Scoring Engine (Rules)'!$R$5:$R$160,0)),""),"")</f>
        <v>No remedial action required. Continue routine monitoring at the standard review cycle and record the reading.</v>
      </c>
      <c r="P37" s="19" t="str">
        <f>IF($J37=1,IFERROR(INDEX('Scoring Engine (Rules)'!$Q$5:$Q$160,MATCH($A37&amp;"|"&amp;$I37,'Scoring Engine (Rules)'!$R$5:$R$160,0)),""),"")</f>
        <v>RM (routine)</v>
      </c>
    </row>
    <row r="38" spans="1:16" ht="60" customHeight="1" x14ac:dyDescent="0.35">
      <c r="A38" s="22" t="s">
        <v>134</v>
      </c>
      <c r="B38" s="19" t="s">
        <v>135</v>
      </c>
      <c r="C38" s="18" t="s">
        <v>29</v>
      </c>
      <c r="D38" s="23" t="str">
        <f>INDEX('Indicator Master'!$F$4:$F$46,MATCH($A38,'Indicator Master'!$A$4:$A$46,0))</f>
        <v>No</v>
      </c>
      <c r="E38" s="22">
        <f>INDEX('Indicator Master'!$N$4:$N$46,MATCH($A38,'Indicator Master'!$A$4:$A$46,0))</f>
        <v>50</v>
      </c>
      <c r="F38" s="37" t="s">
        <v>851</v>
      </c>
      <c r="G38" s="37"/>
      <c r="H38" s="38" t="s">
        <v>852</v>
      </c>
      <c r="I38" s="37"/>
      <c r="J38" s="23">
        <f t="shared" si="0"/>
        <v>0</v>
      </c>
      <c r="K38" s="39" t="str">
        <f>IF($J38=1,$I38/$E38*'Risk Bands (Config)'!$B$5,"")</f>
        <v/>
      </c>
      <c r="L38" s="23">
        <f>IF(AND($D38="Yes",$J38=1,$I38/$E38*'Risk Bands (Config)'!$B$5&gt;='Risk Bands (Config)'!$B$6),1,0)</f>
        <v>0</v>
      </c>
      <c r="M38" s="40" t="str">
        <f t="shared" si="1"/>
        <v/>
      </c>
      <c r="N38" s="19" t="str">
        <f>IF($J38=1,IFERROR(INDEX('Scoring Engine (Rules)'!$O$5:$O$160,MATCH($A38&amp;"|"&amp;$I38,'Scoring Engine (Rules)'!$R$5:$R$160,0)),""),"")</f>
        <v/>
      </c>
      <c r="O38" s="19" t="str">
        <f>IF($J38=1,IFERROR(INDEX('Scoring Engine (Rules)'!$P$5:$P$160,MATCH($A38&amp;"|"&amp;$I38,'Scoring Engine (Rules)'!$R$5:$R$160,0)),""),"")</f>
        <v/>
      </c>
      <c r="P38" s="19" t="str">
        <f>IF($J38=1,IFERROR(INDEX('Scoring Engine (Rules)'!$Q$5:$Q$160,MATCH($A38&amp;"|"&amp;$I38,'Scoring Engine (Rules)'!$R$5:$R$160,0)),""),"")</f>
        <v/>
      </c>
    </row>
    <row r="39" spans="1:16" ht="60" customHeight="1" x14ac:dyDescent="0.35">
      <c r="A39" s="22" t="s">
        <v>143</v>
      </c>
      <c r="B39" s="19" t="s">
        <v>144</v>
      </c>
      <c r="C39" s="18" t="s">
        <v>29</v>
      </c>
      <c r="D39" s="23" t="str">
        <f>INDEX('Indicator Master'!$F$4:$F$46,MATCH($A39,'Indicator Master'!$A$4:$A$46,0))</f>
        <v>No</v>
      </c>
      <c r="E39" s="22">
        <f>INDEX('Indicator Master'!$N$4:$N$46,MATCH($A39,'Indicator Master'!$A$4:$A$46,0))</f>
        <v>50</v>
      </c>
      <c r="F39" s="37" t="s">
        <v>851</v>
      </c>
      <c r="G39" s="37"/>
      <c r="H39" s="38" t="s">
        <v>852</v>
      </c>
      <c r="I39" s="37"/>
      <c r="J39" s="23">
        <f t="shared" si="0"/>
        <v>0</v>
      </c>
      <c r="K39" s="39" t="str">
        <f>IF($J39=1,$I39/$E39*'Risk Bands (Config)'!$B$5,"")</f>
        <v/>
      </c>
      <c r="L39" s="23">
        <f>IF(AND($D39="Yes",$J39=1,$I39/$E39*'Risk Bands (Config)'!$B$5&gt;='Risk Bands (Config)'!$B$6),1,0)</f>
        <v>0</v>
      </c>
      <c r="M39" s="40" t="str">
        <f t="shared" si="1"/>
        <v/>
      </c>
      <c r="N39" s="19" t="str">
        <f>IF($J39=1,IFERROR(INDEX('Scoring Engine (Rules)'!$O$5:$O$160,MATCH($A39&amp;"|"&amp;$I39,'Scoring Engine (Rules)'!$R$5:$R$160,0)),""),"")</f>
        <v/>
      </c>
      <c r="O39" s="19" t="str">
        <f>IF($J39=1,IFERROR(INDEX('Scoring Engine (Rules)'!$P$5:$P$160,MATCH($A39&amp;"|"&amp;$I39,'Scoring Engine (Rules)'!$R$5:$R$160,0)),""),"")</f>
        <v/>
      </c>
      <c r="P39" s="19" t="str">
        <f>IF($J39=1,IFERROR(INDEX('Scoring Engine (Rules)'!$Q$5:$Q$160,MATCH($A39&amp;"|"&amp;$I39,'Scoring Engine (Rules)'!$R$5:$R$160,0)),""),"")</f>
        <v/>
      </c>
    </row>
    <row r="40" spans="1:16" ht="60" customHeight="1" x14ac:dyDescent="0.35">
      <c r="A40" s="22" t="s">
        <v>149</v>
      </c>
      <c r="B40" s="19" t="s">
        <v>150</v>
      </c>
      <c r="C40" s="18" t="s">
        <v>29</v>
      </c>
      <c r="D40" s="23" t="str">
        <f>INDEX('Indicator Master'!$F$4:$F$46,MATCH($A40,'Indicator Master'!$A$4:$A$46,0))</f>
        <v>No</v>
      </c>
      <c r="E40" s="22">
        <f>INDEX('Indicator Master'!$N$4:$N$46,MATCH($A40,'Indicator Master'!$A$4:$A$46,0))</f>
        <v>40</v>
      </c>
      <c r="F40" s="37" t="s">
        <v>837</v>
      </c>
      <c r="G40" s="37" t="s">
        <v>851</v>
      </c>
      <c r="H40" s="38" t="s">
        <v>853</v>
      </c>
      <c r="I40" s="37"/>
      <c r="J40" s="23">
        <f t="shared" si="0"/>
        <v>0</v>
      </c>
      <c r="K40" s="39" t="str">
        <f>IF($J40=1,$I40/$E40*'Risk Bands (Config)'!$B$5,"")</f>
        <v/>
      </c>
      <c r="L40" s="23">
        <f>IF(AND($D40="Yes",$J40=1,$I40/$E40*'Risk Bands (Config)'!$B$5&gt;='Risk Bands (Config)'!$B$6),1,0)</f>
        <v>0</v>
      </c>
      <c r="M40" s="40" t="str">
        <f t="shared" si="1"/>
        <v/>
      </c>
      <c r="N40" s="19" t="str">
        <f>IF($J40=1,IFERROR(INDEX('Scoring Engine (Rules)'!$O$5:$O$160,MATCH($A40&amp;"|"&amp;$I40,'Scoring Engine (Rules)'!$R$5:$R$160,0)),""),"")</f>
        <v/>
      </c>
      <c r="O40" s="19" t="str">
        <f>IF($J40=1,IFERROR(INDEX('Scoring Engine (Rules)'!$P$5:$P$160,MATCH($A40&amp;"|"&amp;$I40,'Scoring Engine (Rules)'!$R$5:$R$160,0)),""),"")</f>
        <v/>
      </c>
      <c r="P40" s="19" t="str">
        <f>IF($J40=1,IFERROR(INDEX('Scoring Engine (Rules)'!$Q$5:$Q$160,MATCH($A40&amp;"|"&amp;$I40,'Scoring Engine (Rules)'!$R$5:$R$160,0)),""),"")</f>
        <v/>
      </c>
    </row>
    <row r="41" spans="1:16" ht="60" customHeight="1" x14ac:dyDescent="0.35">
      <c r="A41" s="22" t="s">
        <v>158</v>
      </c>
      <c r="B41" s="19" t="s">
        <v>159</v>
      </c>
      <c r="C41" s="18" t="s">
        <v>29</v>
      </c>
      <c r="D41" s="23" t="str">
        <f>INDEX('Indicator Master'!$F$4:$F$46,MATCH($A41,'Indicator Master'!$A$4:$A$46,0))</f>
        <v>No</v>
      </c>
      <c r="E41" s="22">
        <f>INDEX('Indicator Master'!$N$4:$N$46,MATCH($A41,'Indicator Master'!$A$4:$A$46,0))</f>
        <v>40</v>
      </c>
      <c r="F41" s="37" t="s">
        <v>837</v>
      </c>
      <c r="G41" s="37" t="s">
        <v>837</v>
      </c>
      <c r="H41" s="38" t="s">
        <v>854</v>
      </c>
      <c r="I41" s="37">
        <v>0</v>
      </c>
      <c r="J41" s="23">
        <f t="shared" si="0"/>
        <v>1</v>
      </c>
      <c r="K41" s="39">
        <f>IF($J41=1,$I41/$E41*'Risk Bands (Config)'!$B$5,"")</f>
        <v>0</v>
      </c>
      <c r="L41" s="23">
        <f>IF(AND($D41="Yes",$J41=1,$I41/$E41*'Risk Bands (Config)'!$B$5&gt;='Risk Bands (Config)'!$B$6),1,0)</f>
        <v>0</v>
      </c>
      <c r="M41" s="40" t="str">
        <f t="shared" si="1"/>
        <v/>
      </c>
      <c r="N41" s="19" t="str">
        <f>IF($J41=1,IFERROR(INDEX('Scoring Engine (Rules)'!$O$5:$O$160,MATCH($A41&amp;"|"&amp;$I41,'Scoring Engine (Rules)'!$R$5:$R$160,0)),""),"")</f>
        <v>Normal — no change in the financial year / accounting period; reporting periods stable and comparable.</v>
      </c>
      <c r="O41" s="19" t="str">
        <f>IF($J41=1,IFERROR(INDEX('Scoring Engine (Rules)'!$P$5:$P$160,MATCH($A41&amp;"|"&amp;$I41,'Scoring Engine (Rules)'!$R$5:$R$160,0)),""),"")</f>
        <v>No remedial action required. Continue routine monitoring at the standard review cycle and record the reading.</v>
      </c>
      <c r="P41" s="19" t="str">
        <f>IF($J41=1,IFERROR(INDEX('Scoring Engine (Rules)'!$Q$5:$Q$160,MATCH($A41&amp;"|"&amp;$I41,'Scoring Engine (Rules)'!$R$5:$R$160,0)),""),"")</f>
        <v>RM (routine)</v>
      </c>
    </row>
    <row r="42" spans="1:16" ht="60" customHeight="1" x14ac:dyDescent="0.35">
      <c r="A42" s="22" t="s">
        <v>167</v>
      </c>
      <c r="B42" s="19" t="s">
        <v>168</v>
      </c>
      <c r="C42" s="18" t="s">
        <v>29</v>
      </c>
      <c r="D42" s="23" t="str">
        <f>INDEX('Indicator Master'!$F$4:$F$46,MATCH($A42,'Indicator Master'!$A$4:$A$46,0))</f>
        <v>No</v>
      </c>
      <c r="E42" s="22">
        <f>INDEX('Indicator Master'!$N$4:$N$46,MATCH($A42,'Indicator Master'!$A$4:$A$46,0))</f>
        <v>40</v>
      </c>
      <c r="F42" s="37" t="s">
        <v>837</v>
      </c>
      <c r="G42" s="37" t="s">
        <v>837</v>
      </c>
      <c r="H42" s="38" t="s">
        <v>855</v>
      </c>
      <c r="I42" s="37">
        <v>0</v>
      </c>
      <c r="J42" s="23">
        <f t="shared" si="0"/>
        <v>1</v>
      </c>
      <c r="K42" s="39">
        <f>IF($J42=1,$I42/$E42*'Risk Bands (Config)'!$B$5,"")</f>
        <v>0</v>
      </c>
      <c r="L42" s="23">
        <f>IF(AND($D42="Yes",$J42=1,$I42/$E42*'Risk Bands (Config)'!$B$5&gt;='Risk Bands (Config)'!$B$6),1,0)</f>
        <v>0</v>
      </c>
      <c r="M42" s="40" t="str">
        <f t="shared" si="1"/>
        <v/>
      </c>
      <c r="N42" s="19" t="str">
        <f>IF($J42=1,IFERROR(INDEX('Scoring Engine (Rules)'!$O$5:$O$160,MATCH($A42&amp;"|"&amp;$I42,'Scoring Engine (Rules)'!$R$5:$R$160,0)),""),"")</f>
        <v>Normal — clean audit, no issue; reliable reporting.</v>
      </c>
      <c r="O42" s="19" t="str">
        <f>IF($J42=1,IFERROR(INDEX('Scoring Engine (Rules)'!$P$5:$P$160,MATCH($A42&amp;"|"&amp;$I42,'Scoring Engine (Rules)'!$R$5:$R$160,0)),""),"")</f>
        <v>No remedial action required. Continue routine monitoring at the standard review cycle and record the reading.</v>
      </c>
      <c r="P42" s="19" t="str">
        <f>IF($J42=1,IFERROR(INDEX('Scoring Engine (Rules)'!$Q$5:$Q$160,MATCH($A42&amp;"|"&amp;$I42,'Scoring Engine (Rules)'!$R$5:$R$160,0)),""),"")</f>
        <v>RM (routine)</v>
      </c>
    </row>
    <row r="43" spans="1:16" ht="60" customHeight="1" x14ac:dyDescent="0.35">
      <c r="A43" s="22" t="s">
        <v>173</v>
      </c>
      <c r="B43" s="19" t="s">
        <v>174</v>
      </c>
      <c r="C43" s="18" t="s">
        <v>29</v>
      </c>
      <c r="D43" s="23" t="str">
        <f>INDEX('Indicator Master'!$F$4:$F$46,MATCH($A43,'Indicator Master'!$A$4:$A$46,0))</f>
        <v>No</v>
      </c>
      <c r="E43" s="22">
        <f>INDEX('Indicator Master'!$N$4:$N$46,MATCH($A43,'Indicator Master'!$A$4:$A$46,0))</f>
        <v>40</v>
      </c>
      <c r="F43" s="37" t="s">
        <v>837</v>
      </c>
      <c r="G43" s="37" t="s">
        <v>837</v>
      </c>
      <c r="H43" s="38" t="s">
        <v>856</v>
      </c>
      <c r="I43" s="37">
        <v>0</v>
      </c>
      <c r="J43" s="23">
        <f t="shared" si="0"/>
        <v>1</v>
      </c>
      <c r="K43" s="39">
        <f>IF($J43=1,$I43/$E43*'Risk Bands (Config)'!$B$5,"")</f>
        <v>0</v>
      </c>
      <c r="L43" s="23">
        <f>IF(AND($D43="Yes",$J43=1,$I43/$E43*'Risk Bands (Config)'!$B$5&gt;='Risk Bands (Config)'!$B$6),1,0)</f>
        <v>0</v>
      </c>
      <c r="M43" s="40" t="str">
        <f t="shared" si="1"/>
        <v/>
      </c>
      <c r="N43" s="19" t="str">
        <f>IF($J43=1,IFERROR(INDEX('Scoring Engine (Rules)'!$O$5:$O$160,MATCH($A43&amp;"|"&amp;$I43,'Scoring Engine (Rules)'!$R$5:$R$160,0)),""),"")</f>
        <v>Normal — no adverse management change; continuity intact.</v>
      </c>
      <c r="O43" s="19" t="str">
        <f>IF($J43=1,IFERROR(INDEX('Scoring Engine (Rules)'!$P$5:$P$160,MATCH($A43&amp;"|"&amp;$I43,'Scoring Engine (Rules)'!$R$5:$R$160,0)),""),"")</f>
        <v>No remedial action required. Continue routine monitoring at the standard review cycle and record the reading.</v>
      </c>
      <c r="P43" s="19" t="str">
        <f>IF($J43=1,IFERROR(INDEX('Scoring Engine (Rules)'!$Q$5:$Q$160,MATCH($A43&amp;"|"&amp;$I43,'Scoring Engine (Rules)'!$R$5:$R$160,0)),""),"")</f>
        <v>RM (routine)</v>
      </c>
    </row>
    <row r="44" spans="1:16" ht="60" customHeight="1" x14ac:dyDescent="0.35">
      <c r="A44" s="22" t="s">
        <v>180</v>
      </c>
      <c r="B44" s="19" t="s">
        <v>181</v>
      </c>
      <c r="C44" s="18" t="s">
        <v>29</v>
      </c>
      <c r="D44" s="23" t="str">
        <f>INDEX('Indicator Master'!$F$4:$F$46,MATCH($A44,'Indicator Master'!$A$4:$A$46,0))</f>
        <v>No</v>
      </c>
      <c r="E44" s="22">
        <f>INDEX('Indicator Master'!$N$4:$N$46,MATCH($A44,'Indicator Master'!$A$4:$A$46,0))</f>
        <v>40</v>
      </c>
      <c r="F44" s="37" t="s">
        <v>851</v>
      </c>
      <c r="G44" s="37"/>
      <c r="H44" s="38" t="s">
        <v>852</v>
      </c>
      <c r="I44" s="37"/>
      <c r="J44" s="23">
        <f t="shared" si="0"/>
        <v>0</v>
      </c>
      <c r="K44" s="39" t="str">
        <f>IF($J44=1,$I44/$E44*'Risk Bands (Config)'!$B$5,"")</f>
        <v/>
      </c>
      <c r="L44" s="23">
        <f>IF(AND($D44="Yes",$J44=1,$I44/$E44*'Risk Bands (Config)'!$B$5&gt;='Risk Bands (Config)'!$B$6),1,0)</f>
        <v>0</v>
      </c>
      <c r="M44" s="40" t="str">
        <f t="shared" si="1"/>
        <v/>
      </c>
      <c r="N44" s="19" t="str">
        <f>IF($J44=1,IFERROR(INDEX('Scoring Engine (Rules)'!$O$5:$O$160,MATCH($A44&amp;"|"&amp;$I44,'Scoring Engine (Rules)'!$R$5:$R$160,0)),""),"")</f>
        <v/>
      </c>
      <c r="O44" s="19" t="str">
        <f>IF($J44=1,IFERROR(INDEX('Scoring Engine (Rules)'!$P$5:$P$160,MATCH($A44&amp;"|"&amp;$I44,'Scoring Engine (Rules)'!$R$5:$R$160,0)),""),"")</f>
        <v/>
      </c>
      <c r="P44" s="19" t="str">
        <f>IF($J44=1,IFERROR(INDEX('Scoring Engine (Rules)'!$Q$5:$Q$160,MATCH($A44&amp;"|"&amp;$I44,'Scoring Engine (Rules)'!$R$5:$R$160,0)),""),"")</f>
        <v/>
      </c>
    </row>
    <row r="45" spans="1:16" ht="60" customHeight="1" x14ac:dyDescent="0.35">
      <c r="A45" s="22" t="s">
        <v>188</v>
      </c>
      <c r="B45" s="19" t="s">
        <v>189</v>
      </c>
      <c r="C45" s="18" t="s">
        <v>29</v>
      </c>
      <c r="D45" s="23" t="str">
        <f>INDEX('Indicator Master'!$F$4:$F$46,MATCH($A45,'Indicator Master'!$A$4:$A$46,0))</f>
        <v>No</v>
      </c>
      <c r="E45" s="22">
        <f>INDEX('Indicator Master'!$N$4:$N$46,MATCH($A45,'Indicator Master'!$A$4:$A$46,0))</f>
        <v>40</v>
      </c>
      <c r="F45" s="37" t="s">
        <v>851</v>
      </c>
      <c r="G45" s="37"/>
      <c r="H45" s="38" t="s">
        <v>852</v>
      </c>
      <c r="I45" s="37"/>
      <c r="J45" s="23">
        <f t="shared" si="0"/>
        <v>0</v>
      </c>
      <c r="K45" s="39" t="str">
        <f>IF($J45=1,$I45/$E45*'Risk Bands (Config)'!$B$5,"")</f>
        <v/>
      </c>
      <c r="L45" s="23">
        <f>IF(AND($D45="Yes",$J45=1,$I45/$E45*'Risk Bands (Config)'!$B$5&gt;='Risk Bands (Config)'!$B$6),1,0)</f>
        <v>0</v>
      </c>
      <c r="M45" s="40" t="str">
        <f t="shared" si="1"/>
        <v/>
      </c>
      <c r="N45" s="19" t="str">
        <f>IF($J45=1,IFERROR(INDEX('Scoring Engine (Rules)'!$O$5:$O$160,MATCH($A45&amp;"|"&amp;$I45,'Scoring Engine (Rules)'!$R$5:$R$160,0)),""),"")</f>
        <v/>
      </c>
      <c r="O45" s="19" t="str">
        <f>IF($J45=1,IFERROR(INDEX('Scoring Engine (Rules)'!$P$5:$P$160,MATCH($A45&amp;"|"&amp;$I45,'Scoring Engine (Rules)'!$R$5:$R$160,0)),""),"")</f>
        <v/>
      </c>
      <c r="P45" s="19" t="str">
        <f>IF($J45=1,IFERROR(INDEX('Scoring Engine (Rules)'!$Q$5:$Q$160,MATCH($A45&amp;"|"&amp;$I45,'Scoring Engine (Rules)'!$R$5:$R$160,0)),""),"")</f>
        <v/>
      </c>
    </row>
    <row r="46" spans="1:16" ht="60" customHeight="1" x14ac:dyDescent="0.35">
      <c r="A46" s="22" t="s">
        <v>194</v>
      </c>
      <c r="B46" s="19" t="s">
        <v>195</v>
      </c>
      <c r="C46" s="18" t="s">
        <v>29</v>
      </c>
      <c r="D46" s="23" t="str">
        <f>INDEX('Indicator Master'!$F$4:$F$46,MATCH($A46,'Indicator Master'!$A$4:$A$46,0))</f>
        <v>No</v>
      </c>
      <c r="E46" s="22">
        <f>INDEX('Indicator Master'!$N$4:$N$46,MATCH($A46,'Indicator Master'!$A$4:$A$46,0))</f>
        <v>40</v>
      </c>
      <c r="F46" s="37" t="s">
        <v>837</v>
      </c>
      <c r="G46" s="37" t="s">
        <v>851</v>
      </c>
      <c r="H46" s="38" t="s">
        <v>853</v>
      </c>
      <c r="I46" s="37"/>
      <c r="J46" s="23">
        <f t="shared" si="0"/>
        <v>0</v>
      </c>
      <c r="K46" s="39" t="str">
        <f>IF($J46=1,$I46/$E46*'Risk Bands (Config)'!$B$5,"")</f>
        <v/>
      </c>
      <c r="L46" s="23">
        <f>IF(AND($D46="Yes",$J46=1,$I46/$E46*'Risk Bands (Config)'!$B$5&gt;='Risk Bands (Config)'!$B$6),1,0)</f>
        <v>0</v>
      </c>
      <c r="M46" s="40" t="str">
        <f t="shared" si="1"/>
        <v/>
      </c>
      <c r="N46" s="19" t="str">
        <f>IF($J46=1,IFERROR(INDEX('Scoring Engine (Rules)'!$O$5:$O$160,MATCH($A46&amp;"|"&amp;$I46,'Scoring Engine (Rules)'!$R$5:$R$160,0)),""),"")</f>
        <v/>
      </c>
      <c r="O46" s="19" t="str">
        <f>IF($J46=1,IFERROR(INDEX('Scoring Engine (Rules)'!$P$5:$P$160,MATCH($A46&amp;"|"&amp;$I46,'Scoring Engine (Rules)'!$R$5:$R$160,0)),""),"")</f>
        <v/>
      </c>
      <c r="P46" s="19" t="str">
        <f>IF($J46=1,IFERROR(INDEX('Scoring Engine (Rules)'!$Q$5:$Q$160,MATCH($A46&amp;"|"&amp;$I46,'Scoring Engine (Rules)'!$R$5:$R$160,0)),""),"")</f>
        <v/>
      </c>
    </row>
    <row r="47" spans="1:16" ht="60" customHeight="1" x14ac:dyDescent="0.35">
      <c r="A47" s="22" t="s">
        <v>200</v>
      </c>
      <c r="B47" s="19" t="s">
        <v>201</v>
      </c>
      <c r="C47" s="18" t="s">
        <v>29</v>
      </c>
      <c r="D47" s="23" t="str">
        <f>INDEX('Indicator Master'!$F$4:$F$46,MATCH($A47,'Indicator Master'!$A$4:$A$46,0))</f>
        <v>No</v>
      </c>
      <c r="E47" s="22">
        <f>INDEX('Indicator Master'!$N$4:$N$46,MATCH($A47,'Indicator Master'!$A$4:$A$46,0))</f>
        <v>40</v>
      </c>
      <c r="F47" s="37" t="s">
        <v>837</v>
      </c>
      <c r="G47" s="37" t="s">
        <v>837</v>
      </c>
      <c r="H47" s="38" t="s">
        <v>857</v>
      </c>
      <c r="I47" s="37">
        <v>0</v>
      </c>
      <c r="J47" s="23">
        <f t="shared" si="0"/>
        <v>1</v>
      </c>
      <c r="K47" s="39">
        <f>IF($J47=1,$I47/$E47*'Risk Bands (Config)'!$B$5,"")</f>
        <v>0</v>
      </c>
      <c r="L47" s="23">
        <f>IF(AND($D47="Yes",$J47=1,$I47/$E47*'Risk Bands (Config)'!$B$5&gt;='Risk Bands (Config)'!$B$6),1,0)</f>
        <v>0</v>
      </c>
      <c r="M47" s="40" t="str">
        <f t="shared" si="1"/>
        <v/>
      </c>
      <c r="N47" s="19" t="str">
        <f>IF($J47=1,IFERROR(INDEX('Scoring Engine (Rules)'!$O$5:$O$160,MATCH($A47&amp;"|"&amp;$I47,'Scoring Engine (Rules)'!$R$5:$R$160,0)),""),"")</f>
        <v>Normal — no group stress; group profile stable.</v>
      </c>
      <c r="O47" s="19" t="str">
        <f>IF($J47=1,IFERROR(INDEX('Scoring Engine (Rules)'!$P$5:$P$160,MATCH($A47&amp;"|"&amp;$I47,'Scoring Engine (Rules)'!$R$5:$R$160,0)),""),"")</f>
        <v>No remedial action required. Continue routine monitoring at the standard review cycle and record the reading.</v>
      </c>
      <c r="P47" s="19" t="str">
        <f>IF($J47=1,IFERROR(INDEX('Scoring Engine (Rules)'!$Q$5:$Q$160,MATCH($A47&amp;"|"&amp;$I47,'Scoring Engine (Rules)'!$R$5:$R$160,0)),""),"")</f>
        <v>RM (routine)</v>
      </c>
    </row>
    <row r="48" spans="1:16" ht="60" customHeight="1" x14ac:dyDescent="0.35">
      <c r="A48" s="22" t="s">
        <v>207</v>
      </c>
      <c r="B48" s="19" t="s">
        <v>208</v>
      </c>
      <c r="C48" s="18" t="s">
        <v>29</v>
      </c>
      <c r="D48" s="23" t="str">
        <f>INDEX('Indicator Master'!$F$4:$F$46,MATCH($A48,'Indicator Master'!$A$4:$A$46,0))</f>
        <v>Yes</v>
      </c>
      <c r="E48" s="22">
        <f>INDEX('Indicator Master'!$N$4:$N$46,MATCH($A48,'Indicator Master'!$A$4:$A$46,0))</f>
        <v>35</v>
      </c>
      <c r="F48" s="37" t="s">
        <v>837</v>
      </c>
      <c r="G48" s="37" t="s">
        <v>837</v>
      </c>
      <c r="H48" s="38" t="s">
        <v>858</v>
      </c>
      <c r="I48" s="37">
        <v>35</v>
      </c>
      <c r="J48" s="23">
        <f t="shared" si="0"/>
        <v>1</v>
      </c>
      <c r="K48" s="39">
        <f>IF($J48=1,$I48/$E48*'Risk Bands (Config)'!$B$5,"")</f>
        <v>100</v>
      </c>
      <c r="L48" s="23">
        <f>IF(AND($D48="Yes",$J48=1,$I48/$E48*'Risk Bands (Config)'!$B$5&gt;='Risk Bands (Config)'!$B$6),1,0)</f>
        <v>1</v>
      </c>
      <c r="M48" s="40" t="str">
        <f t="shared" si="1"/>
        <v>EWS-026</v>
      </c>
      <c r="N48" s="19" t="str">
        <f>IF($J48=1,IFERROR(INDEX('Scoring Engine (Rules)'!$O$5:$O$160,MATCH($A48&amp;"|"&amp;$I48,'Scoring Engine (Rules)'!$R$5:$R$160,0)),""),"")</f>
        <v>Severe / critical — 3+ months overdue; severe — large statutory arrears ranking ahead of the bank, attachment risk.</v>
      </c>
      <c r="O48" s="19" t="str">
        <f>IF($J48=1,IFERROR(INDEX('Scoring Engine (Rules)'!$P$5:$P$160,MATCH($A48&amp;"|"&amp;$I48,'Scoring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8" s="19" t="str">
        <f>IF($J48=1,IFERROR(INDEX('Scoring Engine (Rules)'!$Q$5:$Q$160,MATCH($A48&amp;"|"&amp;$I48,'Scoring Engine (Rules)'!$R$5:$R$160,0)),""),"")</f>
        <v>Credit Head / Risk (immediate)</v>
      </c>
    </row>
    <row r="49" spans="1:16" ht="60" customHeight="1" x14ac:dyDescent="0.35">
      <c r="A49" s="22" t="s">
        <v>214</v>
      </c>
      <c r="B49" s="19" t="s">
        <v>215</v>
      </c>
      <c r="C49" s="18" t="s">
        <v>29</v>
      </c>
      <c r="D49" s="23" t="str">
        <f>INDEX('Indicator Master'!$F$4:$F$46,MATCH($A49,'Indicator Master'!$A$4:$A$46,0))</f>
        <v>No</v>
      </c>
      <c r="E49" s="22">
        <f>INDEX('Indicator Master'!$N$4:$N$46,MATCH($A49,'Indicator Master'!$A$4:$A$46,0))</f>
        <v>50</v>
      </c>
      <c r="F49" s="37" t="s">
        <v>837</v>
      </c>
      <c r="G49" s="37" t="s">
        <v>837</v>
      </c>
      <c r="H49" s="38" t="s">
        <v>859</v>
      </c>
      <c r="I49" s="37">
        <v>15</v>
      </c>
      <c r="J49" s="23">
        <f t="shared" si="0"/>
        <v>1</v>
      </c>
      <c r="K49" s="39">
        <f>IF($J49=1,$I49/$E49*'Risk Bands (Config)'!$B$5,"")</f>
        <v>30</v>
      </c>
      <c r="L49" s="23">
        <f>IF(AND($D49="Yes",$J49=1,$I49/$E49*'Risk Bands (Config)'!$B$5&gt;='Risk Bands (Config)'!$B$6),1,0)</f>
        <v>0</v>
      </c>
      <c r="M49" s="40" t="str">
        <f t="shared" si="1"/>
        <v>EWS-026</v>
      </c>
      <c r="N49" s="19" t="str">
        <f>IF($J49=1,IFERROR(INDEX('Scoring Engine (Rules)'!$O$5:$O$160,MATCH($A49&amp;"|"&amp;$I49,'Scoring Engine (Rules)'!$R$5:$R$160,0)),""),"")</f>
        <v>Early warning — a regulatory notice received; early compliance concern.</v>
      </c>
      <c r="O49" s="19" t="str">
        <f>IF($J49=1,IFERROR(INDEX('Scoring Engine (Rules)'!$P$5:$P$160,MATCH($A49&amp;"|"&amp;$I49,'Scoring Engine (Rules)'!$R$5:$R$160,0)),""),"")</f>
        <v>1) Obtain notice details; assess materiality. 2) Legal opinion if needed. 3) Monitor.</v>
      </c>
      <c r="P49" s="19" t="str">
        <f>IF($J49=1,IFERROR(INDEX('Scoring Engine (Rules)'!$Q$5:$Q$160,MATCH($A49&amp;"|"&amp;$I49,'Scoring Engine (Rules)'!$R$5:$R$160,0)),""),"")</f>
        <v>Relationship Manager (Branch)</v>
      </c>
    </row>
    <row r="50" spans="1:16" ht="60" customHeight="1" x14ac:dyDescent="0.35">
      <c r="A50" s="22" t="s">
        <v>222</v>
      </c>
      <c r="B50" s="19" t="s">
        <v>223</v>
      </c>
      <c r="C50" s="18" t="s">
        <v>29</v>
      </c>
      <c r="D50" s="23" t="str">
        <f>INDEX('Indicator Master'!$F$4:$F$46,MATCH($A50,'Indicator Master'!$A$4:$A$46,0))</f>
        <v>No</v>
      </c>
      <c r="E50" s="22">
        <f>INDEX('Indicator Master'!$N$4:$N$46,MATCH($A50,'Indicator Master'!$A$4:$A$46,0))</f>
        <v>40</v>
      </c>
      <c r="F50" s="37" t="s">
        <v>837</v>
      </c>
      <c r="G50" s="37" t="s">
        <v>837</v>
      </c>
      <c r="H50" s="38" t="s">
        <v>860</v>
      </c>
      <c r="I50" s="37">
        <v>20</v>
      </c>
      <c r="J50" s="23">
        <f t="shared" si="0"/>
        <v>1</v>
      </c>
      <c r="K50" s="39">
        <f>IF($J50=1,$I50/$E50*'Risk Bands (Config)'!$B$5,"")</f>
        <v>50</v>
      </c>
      <c r="L50" s="23">
        <f>IF(AND($D50="Yes",$J50=1,$I50/$E50*'Risk Bands (Config)'!$B$5&gt;='Risk Bands (Config)'!$B$6),1,0)</f>
        <v>0</v>
      </c>
      <c r="M50" s="40" t="str">
        <f t="shared" si="1"/>
        <v>EWS-026</v>
      </c>
      <c r="N50" s="19" t="str">
        <f>IF($J50=1,IFERROR(INDEX('Scoring Engine (Rules)'!$O$5:$O$160,MATCH($A50&amp;"|"&amp;$I50,'Scoring Engine (Rules)'!$R$5:$R$160,0)),""),"")</f>
        <v>Elevated concern — one or more litigation cases but none material; rising but immaterial legal exposure.</v>
      </c>
      <c r="O50" s="19" t="str">
        <f>IF($J50=1,IFERROR(INDEX('Scoring Engine (Rules)'!$P$5:$P$160,MATCH($A50&amp;"|"&amp;$I50,'Scoring Engine (Rules)'!$R$5:$R$160,0)),""),"")</f>
        <v>1) Review the nature of the cases. 2) Obtain a legal opinion on the aggregate exposure. 3) Monitor.</v>
      </c>
      <c r="P50" s="19" t="str">
        <f>IF($J50=1,IFERROR(INDEX('Scoring Engine (Rules)'!$Q$5:$Q$160,MATCH($A50&amp;"|"&amp;$I50,'Scoring Engine (Rules)'!$R$5:$R$160,0)),""),"")</f>
        <v>RM + Credit Analyst</v>
      </c>
    </row>
    <row r="51" spans="1:16" ht="60" customHeight="1" x14ac:dyDescent="0.35">
      <c r="A51" s="22" t="s">
        <v>230</v>
      </c>
      <c r="B51" s="19" t="s">
        <v>231</v>
      </c>
      <c r="C51" s="18" t="s">
        <v>29</v>
      </c>
      <c r="D51" s="23" t="str">
        <f>INDEX('Indicator Master'!$F$4:$F$46,MATCH($A51,'Indicator Master'!$A$4:$A$46,0))</f>
        <v>No</v>
      </c>
      <c r="E51" s="22">
        <f>INDEX('Indicator Master'!$N$4:$N$46,MATCH($A51,'Indicator Master'!$A$4:$A$46,0))</f>
        <v>40</v>
      </c>
      <c r="F51" s="37" t="s">
        <v>837</v>
      </c>
      <c r="G51" s="37" t="s">
        <v>837</v>
      </c>
      <c r="H51" s="38" t="s">
        <v>861</v>
      </c>
      <c r="I51" s="37">
        <v>0</v>
      </c>
      <c r="J51" s="23">
        <f t="shared" si="0"/>
        <v>1</v>
      </c>
      <c r="K51" s="39">
        <f>IF($J51=1,$I51/$E51*'Risk Bands (Config)'!$B$5,"")</f>
        <v>0</v>
      </c>
      <c r="L51" s="23">
        <f>IF(AND($D51="Yes",$J51=1,$I51/$E51*'Risk Bands (Config)'!$B$5&gt;='Risk Bands (Config)'!$B$6),1,0)</f>
        <v>0</v>
      </c>
      <c r="M51" s="40" t="str">
        <f t="shared" si="1"/>
        <v>EWS-026</v>
      </c>
      <c r="N51" s="19" t="str">
        <f>IF($J51=1,IFERROR(INDEX('Scoring Engine (Rules)'!$O$5:$O$160,MATCH($A51&amp;"|"&amp;$I51,'Scoring Engine (Rules)'!$R$5:$R$160,0)),""),"")</f>
        <v>Normal — no change in business model; risk profile stable.</v>
      </c>
      <c r="O51" s="19" t="str">
        <f>IF($J51=1,IFERROR(INDEX('Scoring Engine (Rules)'!$P$5:$P$160,MATCH($A51&amp;"|"&amp;$I51,'Scoring Engine (Rules)'!$R$5:$R$160,0)),""),"")</f>
        <v>No remedial action required. Continue routine monitoring at the standard review cycle and record the reading.</v>
      </c>
      <c r="P51" s="19" t="str">
        <f>IF($J51=1,IFERROR(INDEX('Scoring Engine (Rules)'!$Q$5:$Q$160,MATCH($A51&amp;"|"&amp;$I51,'Scoring Engine (Rules)'!$R$5:$R$160,0)),""),"")</f>
        <v>RM (routine)</v>
      </c>
    </row>
    <row r="52" spans="1:16" ht="60" customHeight="1" x14ac:dyDescent="0.35">
      <c r="A52" s="22" t="s">
        <v>237</v>
      </c>
      <c r="B52" s="19" t="s">
        <v>238</v>
      </c>
      <c r="C52" s="18" t="s">
        <v>29</v>
      </c>
      <c r="D52" s="23" t="str">
        <f>INDEX('Indicator Master'!$F$4:$F$46,MATCH($A52,'Indicator Master'!$A$4:$A$46,0))</f>
        <v>No</v>
      </c>
      <c r="E52" s="22">
        <f>INDEX('Indicator Master'!$N$4:$N$46,MATCH($A52,'Indicator Master'!$A$4:$A$46,0))</f>
        <v>40</v>
      </c>
      <c r="F52" s="37" t="s">
        <v>837</v>
      </c>
      <c r="G52" s="37" t="s">
        <v>851</v>
      </c>
      <c r="H52" s="38" t="s">
        <v>853</v>
      </c>
      <c r="I52" s="37"/>
      <c r="J52" s="23">
        <f t="shared" si="0"/>
        <v>0</v>
      </c>
      <c r="K52" s="39" t="str">
        <f>IF($J52=1,$I52/$E52*'Risk Bands (Config)'!$B$5,"")</f>
        <v/>
      </c>
      <c r="L52" s="23">
        <f>IF(AND($D52="Yes",$J52=1,$I52/$E52*'Risk Bands (Config)'!$B$5&gt;='Risk Bands (Config)'!$B$6),1,0)</f>
        <v>0</v>
      </c>
      <c r="M52" s="40" t="str">
        <f t="shared" si="1"/>
        <v>EWS-026</v>
      </c>
      <c r="N52" s="19" t="str">
        <f>IF($J52=1,IFERROR(INDEX('Scoring Engine (Rules)'!$O$5:$O$160,MATCH($A52&amp;"|"&amp;$I52,'Scoring Engine (Rules)'!$R$5:$R$160,0)),""),"")</f>
        <v/>
      </c>
      <c r="O52" s="19" t="str">
        <f>IF($J52=1,IFERROR(INDEX('Scoring Engine (Rules)'!$P$5:$P$160,MATCH($A52&amp;"|"&amp;$I52,'Scoring Engine (Rules)'!$R$5:$R$160,0)),""),"")</f>
        <v/>
      </c>
      <c r="P52" s="19" t="str">
        <f>IF($J52=1,IFERROR(INDEX('Scoring Engine (Rules)'!$Q$5:$Q$160,MATCH($A52&amp;"|"&amp;$I52,'Scoring Engine (Rules)'!$R$5:$R$160,0)),""),"")</f>
        <v/>
      </c>
    </row>
    <row r="53" spans="1:16" ht="60" customHeight="1" x14ac:dyDescent="0.35">
      <c r="A53" s="22" t="s">
        <v>246</v>
      </c>
      <c r="B53" s="19" t="s">
        <v>247</v>
      </c>
      <c r="C53" s="18" t="s">
        <v>29</v>
      </c>
      <c r="D53" s="23" t="str">
        <f>INDEX('Indicator Master'!$F$4:$F$46,MATCH($A53,'Indicator Master'!$A$4:$A$46,0))</f>
        <v>No</v>
      </c>
      <c r="E53" s="22">
        <f>INDEX('Indicator Master'!$N$4:$N$46,MATCH($A53,'Indicator Master'!$A$4:$A$46,0))</f>
        <v>50</v>
      </c>
      <c r="F53" s="37" t="s">
        <v>837</v>
      </c>
      <c r="G53" s="37" t="s">
        <v>837</v>
      </c>
      <c r="H53" s="38" t="s">
        <v>862</v>
      </c>
      <c r="I53" s="37">
        <v>0</v>
      </c>
      <c r="J53" s="23">
        <f t="shared" si="0"/>
        <v>1</v>
      </c>
      <c r="K53" s="39">
        <f>IF($J53=1,$I53/$E53*'Risk Bands (Config)'!$B$5,"")</f>
        <v>0</v>
      </c>
      <c r="L53" s="23">
        <f>IF(AND($D53="Yes",$J53=1,$I53/$E53*'Risk Bands (Config)'!$B$5&gt;='Risk Bands (Config)'!$B$6),1,0)</f>
        <v>0</v>
      </c>
      <c r="M53" s="40" t="str">
        <f t="shared" si="1"/>
        <v>EWS-026</v>
      </c>
      <c r="N53" s="19" t="str">
        <f>IF($J53=1,IFERROR(INDEX('Scoring Engine (Rules)'!$O$5:$O$160,MATCH($A53&amp;"|"&amp;$I53,'Scoring Engine (Rules)'!$R$5:$R$160,0)),""),"")</f>
        <v>Normal — no adverse news; reputation intact.</v>
      </c>
      <c r="O53" s="19" t="str">
        <f>IF($J53=1,IFERROR(INDEX('Scoring Engine (Rules)'!$P$5:$P$160,MATCH($A53&amp;"|"&amp;$I53,'Scoring Engine (Rules)'!$R$5:$R$160,0)),""),"")</f>
        <v>No remedial action required. Continue routine monitoring at the standard review cycle and record the reading.</v>
      </c>
      <c r="P53" s="19" t="str">
        <f>IF($J53=1,IFERROR(INDEX('Scoring Engine (Rules)'!$Q$5:$Q$160,MATCH($A53&amp;"|"&amp;$I53,'Scoring Engine (Rules)'!$R$5:$R$160,0)),""),"")</f>
        <v>RM (routine)</v>
      </c>
    </row>
    <row r="54" spans="1:16" ht="60" customHeight="1" x14ac:dyDescent="0.35">
      <c r="A54" s="22" t="s">
        <v>255</v>
      </c>
      <c r="B54" s="19" t="s">
        <v>256</v>
      </c>
      <c r="C54" s="18" t="s">
        <v>29</v>
      </c>
      <c r="D54" s="23" t="str">
        <f>INDEX('Indicator Master'!$F$4:$F$46,MATCH($A54,'Indicator Master'!$A$4:$A$46,0))</f>
        <v>Yes</v>
      </c>
      <c r="E54" s="22">
        <f>INDEX('Indicator Master'!$N$4:$N$46,MATCH($A54,'Indicator Master'!$A$4:$A$46,0))</f>
        <v>40</v>
      </c>
      <c r="F54" s="37" t="s">
        <v>837</v>
      </c>
      <c r="G54" s="37" t="s">
        <v>837</v>
      </c>
      <c r="H54" s="38" t="s">
        <v>863</v>
      </c>
      <c r="I54" s="37">
        <v>0</v>
      </c>
      <c r="J54" s="23">
        <f t="shared" si="0"/>
        <v>1</v>
      </c>
      <c r="K54" s="39">
        <f>IF($J54=1,$I54/$E54*'Risk Bands (Config)'!$B$5,"")</f>
        <v>0</v>
      </c>
      <c r="L54" s="23">
        <f>IF(AND($D54="Yes",$J54=1,$I54/$E54*'Risk Bands (Config)'!$B$5&gt;='Risk Bands (Config)'!$B$6),1,0)</f>
        <v>0</v>
      </c>
      <c r="M54" s="40" t="str">
        <f t="shared" si="1"/>
        <v>EWS-026</v>
      </c>
      <c r="N54" s="19" t="str">
        <f>IF($J54=1,IFERROR(INDEX('Scoring Engine (Rules)'!$O$5:$O$160,MATCH($A54&amp;"|"&amp;$I54,'Scoring Engine (Rules)'!$R$5:$R$160,0)),""),"")</f>
        <v>Normal — no/minor complaints; normal counterparty relations.</v>
      </c>
      <c r="O54" s="19" t="str">
        <f>IF($J54=1,IFERROR(INDEX('Scoring Engine (Rules)'!$P$5:$P$160,MATCH($A54&amp;"|"&amp;$I54,'Scoring Engine (Rules)'!$R$5:$R$160,0)),""),"")</f>
        <v>No remedial action required. Continue routine monitoring at the standard review cycle and record the reading.</v>
      </c>
      <c r="P54" s="19" t="str">
        <f>IF($J54=1,IFERROR(INDEX('Scoring Engine (Rules)'!$Q$5:$Q$160,MATCH($A54&amp;"|"&amp;$I54,'Scoring Engine (Rules)'!$R$5:$R$160,0)),""),"")</f>
        <v>RM (routine)</v>
      </c>
    </row>
    <row r="55" spans="1:16" ht="60" customHeight="1" x14ac:dyDescent="0.35">
      <c r="A55" s="22" t="s">
        <v>261</v>
      </c>
      <c r="B55" s="19" t="s">
        <v>262</v>
      </c>
      <c r="C55" s="18" t="s">
        <v>29</v>
      </c>
      <c r="D55" s="23" t="str">
        <f>INDEX('Indicator Master'!$F$4:$F$46,MATCH($A55,'Indicator Master'!$A$4:$A$46,0))</f>
        <v>No</v>
      </c>
      <c r="E55" s="22">
        <f>INDEX('Indicator Master'!$N$4:$N$46,MATCH($A55,'Indicator Master'!$A$4:$A$46,0))</f>
        <v>40</v>
      </c>
      <c r="F55" s="37" t="s">
        <v>837</v>
      </c>
      <c r="G55" s="37" t="s">
        <v>837</v>
      </c>
      <c r="H55" s="38" t="s">
        <v>864</v>
      </c>
      <c r="I55" s="37">
        <v>0</v>
      </c>
      <c r="J55" s="23">
        <f t="shared" si="0"/>
        <v>1</v>
      </c>
      <c r="K55" s="39">
        <f>IF($J55=1,$I55/$E55*'Risk Bands (Config)'!$B$5,"")</f>
        <v>0</v>
      </c>
      <c r="L55" s="23">
        <f>IF(AND($D55="Yes",$J55=1,$I55/$E55*'Risk Bands (Config)'!$B$5&gt;='Risk Bands (Config)'!$B$6),1,0)</f>
        <v>0</v>
      </c>
      <c r="M55" s="40" t="str">
        <f t="shared" si="1"/>
        <v>EWS-026</v>
      </c>
      <c r="N55" s="19" t="str">
        <f>IF($J55=1,IFERROR(INDEX('Scoring Engine (Rules)'!$O$5:$O$160,MATCH($A55&amp;"|"&amp;$I55,'Scoring Engine (Rules)'!$R$5:$R$160,0)),""),"")</f>
        <v>Normal — normal operations; no workforce disruption.</v>
      </c>
      <c r="O55" s="19" t="str">
        <f>IF($J55=1,IFERROR(INDEX('Scoring Engine (Rules)'!$P$5:$P$160,MATCH($A55&amp;"|"&amp;$I55,'Scoring Engine (Rules)'!$R$5:$R$160,0)),""),"")</f>
        <v>No remedial action required. Continue routine monitoring at the standard review cycle and record the reading.</v>
      </c>
      <c r="P55" s="19" t="str">
        <f>IF($J55=1,IFERROR(INDEX('Scoring Engine (Rules)'!$Q$5:$Q$160,MATCH($A55&amp;"|"&amp;$I55,'Scoring Engine (Rules)'!$R$5:$R$160,0)),""),"")</f>
        <v>RM (routine)</v>
      </c>
    </row>
    <row r="56" spans="1:16" ht="60" customHeight="1" x14ac:dyDescent="0.35">
      <c r="A56" s="22" t="s">
        <v>270</v>
      </c>
      <c r="B56" s="19" t="s">
        <v>271</v>
      </c>
      <c r="C56" s="18" t="s">
        <v>29</v>
      </c>
      <c r="D56" s="23" t="str">
        <f>INDEX('Indicator Master'!$F$4:$F$46,MATCH($A56,'Indicator Master'!$A$4:$A$46,0))</f>
        <v>No</v>
      </c>
      <c r="E56" s="22">
        <f>INDEX('Indicator Master'!$N$4:$N$46,MATCH($A56,'Indicator Master'!$A$4:$A$46,0))</f>
        <v>30</v>
      </c>
      <c r="F56" s="37" t="s">
        <v>837</v>
      </c>
      <c r="G56" s="37" t="s">
        <v>837</v>
      </c>
      <c r="H56" s="38" t="s">
        <v>865</v>
      </c>
      <c r="I56" s="37">
        <v>10</v>
      </c>
      <c r="J56" s="23">
        <f t="shared" si="0"/>
        <v>1</v>
      </c>
      <c r="K56" s="39">
        <f>IF($J56=1,$I56/$E56*'Risk Bands (Config)'!$B$5,"")</f>
        <v>33.333333333333329</v>
      </c>
      <c r="L56" s="23">
        <f>IF(AND($D56="Yes",$J56=1,$I56/$E56*'Risk Bands (Config)'!$B$5&gt;='Risk Bands (Config)'!$B$6),1,0)</f>
        <v>0</v>
      </c>
      <c r="M56" s="40" t="str">
        <f t="shared" si="1"/>
        <v>EWS-026</v>
      </c>
      <c r="N56" s="19" t="str">
        <f>IF($J56=1,IFERROR(INDEX('Scoring Engine (Rules)'!$O$5:$O$160,MATCH($A56&amp;"|"&amp;$I56,'Scoring Engine (Rules)'!$R$5:$R$160,0)),""),"")</f>
        <v>Early warning — utilisation 85–90%; slight easing of throughput.</v>
      </c>
      <c r="O56" s="19" t="str">
        <f>IF($J56=1,IFERROR(INDEX('Scoring Engine (Rules)'!$P$5:$P$160,MATCH($A56&amp;"|"&amp;$I56,'Scoring Engine (Rules)'!$R$5:$R$160,0)),""),"")</f>
        <v>1) Note the dip; confirm the cause. 2) Watch next cycle.</v>
      </c>
      <c r="P56" s="19" t="str">
        <f>IF($J56=1,IFERROR(INDEX('Scoring Engine (Rules)'!$Q$5:$Q$160,MATCH($A56&amp;"|"&amp;$I56,'Scoring Engine (Rules)'!$R$5:$R$160,0)),""),"")</f>
        <v>RM + Credit Analyst</v>
      </c>
    </row>
    <row r="57" spans="1:16" ht="60" customHeight="1" x14ac:dyDescent="0.35">
      <c r="A57" s="22" t="s">
        <v>276</v>
      </c>
      <c r="B57" s="19" t="s">
        <v>277</v>
      </c>
      <c r="C57" s="18" t="s">
        <v>29</v>
      </c>
      <c r="D57" s="23" t="str">
        <f>INDEX('Indicator Master'!$F$4:$F$46,MATCH($A57,'Indicator Master'!$A$4:$A$46,0))</f>
        <v>Yes</v>
      </c>
      <c r="E57" s="22">
        <f>INDEX('Indicator Master'!$N$4:$N$46,MATCH($A57,'Indicator Master'!$A$4:$A$46,0))</f>
        <v>50</v>
      </c>
      <c r="F57" s="37" t="s">
        <v>837</v>
      </c>
      <c r="G57" s="37" t="s">
        <v>837</v>
      </c>
      <c r="H57" s="38" t="s">
        <v>866</v>
      </c>
      <c r="I57" s="37">
        <v>0</v>
      </c>
      <c r="J57" s="23">
        <f t="shared" si="0"/>
        <v>1</v>
      </c>
      <c r="K57" s="39">
        <f>IF($J57=1,$I57/$E57*'Risk Bands (Config)'!$B$5,"")</f>
        <v>0</v>
      </c>
      <c r="L57" s="23">
        <f>IF(AND($D57="Yes",$J57=1,$I57/$E57*'Risk Bands (Config)'!$B$5&gt;='Risk Bands (Config)'!$B$6),1,0)</f>
        <v>0</v>
      </c>
      <c r="M57" s="40" t="str">
        <f t="shared" si="1"/>
        <v>EWS-026</v>
      </c>
      <c r="N57" s="19" t="str">
        <f>IF($J57=1,IFERROR(INDEX('Scoring Engine (Rules)'!$O$5:$O$160,MATCH($A57&amp;"|"&amp;$I57,'Scoring Engine (Rules)'!$R$5:$R$160,0)),""),"")</f>
        <v>Normal — site visit satisfactory; unit operating normally.</v>
      </c>
      <c r="O57" s="19" t="str">
        <f>IF($J57=1,IFERROR(INDEX('Scoring Engine (Rules)'!$P$5:$P$160,MATCH($A57&amp;"|"&amp;$I57,'Scoring Engine (Rules)'!$R$5:$R$160,0)),""),"")</f>
        <v>No remedial action required. Continue routine monitoring at the standard review cycle and record the reading.</v>
      </c>
      <c r="P57" s="19" t="str">
        <f>IF($J57=1,IFERROR(INDEX('Scoring Engine (Rules)'!$Q$5:$Q$160,MATCH($A57&amp;"|"&amp;$I57,'Scoring Engine (Rules)'!$R$5:$R$160,0)),""),"")</f>
        <v>RM (routine)</v>
      </c>
    </row>
    <row r="58" spans="1:16" ht="60" customHeight="1" x14ac:dyDescent="0.35">
      <c r="A58" s="22" t="s">
        <v>282</v>
      </c>
      <c r="B58" s="19" t="s">
        <v>283</v>
      </c>
      <c r="C58" s="18" t="s">
        <v>29</v>
      </c>
      <c r="D58" s="23" t="str">
        <f>INDEX('Indicator Master'!$F$4:$F$46,MATCH($A58,'Indicator Master'!$A$4:$A$46,0))</f>
        <v>No</v>
      </c>
      <c r="E58" s="22">
        <f>INDEX('Indicator Master'!$N$4:$N$46,MATCH($A58,'Indicator Master'!$A$4:$A$46,0))</f>
        <v>50</v>
      </c>
      <c r="F58" s="37" t="s">
        <v>837</v>
      </c>
      <c r="G58" s="37" t="s">
        <v>837</v>
      </c>
      <c r="H58" s="38" t="s">
        <v>867</v>
      </c>
      <c r="I58" s="37">
        <v>0</v>
      </c>
      <c r="J58" s="23">
        <f t="shared" si="0"/>
        <v>1</v>
      </c>
      <c r="K58" s="39">
        <f>IF($J58=1,$I58/$E58*'Risk Bands (Config)'!$B$5,"")</f>
        <v>0</v>
      </c>
      <c r="L58" s="23">
        <f>IF(AND($D58="Yes",$J58=1,$I58/$E58*'Risk Bands (Config)'!$B$5&gt;='Risk Bands (Config)'!$B$6),1,0)</f>
        <v>0</v>
      </c>
      <c r="M58" s="40" t="str">
        <f t="shared" si="1"/>
        <v>EWS-026</v>
      </c>
      <c r="N58" s="19" t="str">
        <f>IF($J58=1,IFERROR(INDEX('Scoring Engine (Rules)'!$O$5:$O$160,MATCH($A58&amp;"|"&amp;$I58,'Scoring Engine (Rules)'!$R$5:$R$160,0)),""),"")</f>
        <v>Normal — no round-tripping indicators; clean fund flow.</v>
      </c>
      <c r="O58" s="19" t="str">
        <f>IF($J58=1,IFERROR(INDEX('Scoring Engine (Rules)'!$P$5:$P$160,MATCH($A58&amp;"|"&amp;$I58,'Scoring Engine (Rules)'!$R$5:$R$160,0)),""),"")</f>
        <v>No remedial action required. Continue routine monitoring at the standard review cycle and record the reading.</v>
      </c>
      <c r="P58" s="19" t="str">
        <f>IF($J58=1,IFERROR(INDEX('Scoring Engine (Rules)'!$Q$5:$Q$160,MATCH($A58&amp;"|"&amp;$I58,'Scoring Engine (Rules)'!$R$5:$R$160,0)),""),"")</f>
        <v>RM (routine)</v>
      </c>
    </row>
    <row r="59" spans="1:16" ht="60" customHeight="1" x14ac:dyDescent="0.35">
      <c r="A59" s="22" t="s">
        <v>289</v>
      </c>
      <c r="B59" s="19" t="s">
        <v>290</v>
      </c>
      <c r="C59" s="18" t="s">
        <v>29</v>
      </c>
      <c r="D59" s="23" t="str">
        <f>INDEX('Indicator Master'!$F$4:$F$46,MATCH($A59,'Indicator Master'!$A$4:$A$46,0))</f>
        <v>No</v>
      </c>
      <c r="E59" s="22">
        <f>INDEX('Indicator Master'!$N$4:$N$46,MATCH($A59,'Indicator Master'!$A$4:$A$46,0))</f>
        <v>50</v>
      </c>
      <c r="F59" s="37" t="s">
        <v>837</v>
      </c>
      <c r="G59" s="37" t="s">
        <v>837</v>
      </c>
      <c r="H59" s="38" t="s">
        <v>855</v>
      </c>
      <c r="I59" s="37">
        <v>0</v>
      </c>
      <c r="J59" s="23">
        <f t="shared" si="0"/>
        <v>1</v>
      </c>
      <c r="K59" s="39">
        <f>IF($J59=1,$I59/$E59*'Risk Bands (Config)'!$B$5,"")</f>
        <v>0</v>
      </c>
      <c r="L59" s="23">
        <f>IF(AND($D59="Yes",$J59=1,$I59/$E59*'Risk Bands (Config)'!$B$5&gt;='Risk Bands (Config)'!$B$6),1,0)</f>
        <v>0</v>
      </c>
      <c r="M59" s="40" t="str">
        <f t="shared" si="1"/>
        <v>EWS-026</v>
      </c>
      <c r="N59" s="19" t="str">
        <f>IF($J59=1,IFERROR(INDEX('Scoring Engine (Rules)'!$O$5:$O$160,MATCH($A59&amp;"|"&amp;$I59,'Scoring Engine (Rules)'!$R$5:$R$160,0)),""),"")</f>
        <v>Normal — no ESG/environmental issue; compliant operations.</v>
      </c>
      <c r="O59" s="19" t="str">
        <f>IF($J59=1,IFERROR(INDEX('Scoring Engine (Rules)'!$P$5:$P$160,MATCH($A59&amp;"|"&amp;$I59,'Scoring Engine (Rules)'!$R$5:$R$160,0)),""),"")</f>
        <v>No remedial action required. Continue routine monitoring at the standard review cycle and record the reading.</v>
      </c>
      <c r="P59" s="19" t="str">
        <f>IF($J59=1,IFERROR(INDEX('Scoring Engine (Rules)'!$Q$5:$Q$160,MATCH($A59&amp;"|"&amp;$I59,'Scoring Engine (Rules)'!$R$5:$R$160,0)),""),"")</f>
        <v>RM (routine)</v>
      </c>
    </row>
    <row r="60" spans="1:16" ht="60" customHeight="1" x14ac:dyDescent="0.35">
      <c r="A60" s="22" t="s">
        <v>296</v>
      </c>
      <c r="B60" s="19" t="s">
        <v>297</v>
      </c>
      <c r="C60" s="18" t="s">
        <v>29</v>
      </c>
      <c r="D60" s="23" t="str">
        <f>INDEX('Indicator Master'!$F$4:$F$46,MATCH($A60,'Indicator Master'!$A$4:$A$46,0))</f>
        <v>No</v>
      </c>
      <c r="E60" s="22">
        <f>INDEX('Indicator Master'!$N$4:$N$46,MATCH($A60,'Indicator Master'!$A$4:$A$46,0))</f>
        <v>40</v>
      </c>
      <c r="F60" s="37" t="s">
        <v>837</v>
      </c>
      <c r="G60" s="37" t="s">
        <v>837</v>
      </c>
      <c r="H60" s="38" t="s">
        <v>860</v>
      </c>
      <c r="I60" s="37">
        <v>0</v>
      </c>
      <c r="J60" s="23">
        <f t="shared" si="0"/>
        <v>1</v>
      </c>
      <c r="K60" s="39">
        <f>IF($J60=1,$I60/$E60*'Risk Bands (Config)'!$B$5,"")</f>
        <v>0</v>
      </c>
      <c r="L60" s="23">
        <f>IF(AND($D60="Yes",$J60=1,$I60/$E60*'Risk Bands (Config)'!$B$5&gt;='Risk Bands (Config)'!$B$6),1,0)</f>
        <v>0</v>
      </c>
      <c r="M60" s="40" t="str">
        <f t="shared" si="1"/>
        <v>EWS-026</v>
      </c>
      <c r="N60" s="19" t="str">
        <f>IF($J60=1,IFERROR(INDEX('Scoring Engine (Rules)'!$O$5:$O$160,MATCH($A60&amp;"|"&amp;$I60,'Scoring Engine (Rules)'!$R$5:$R$160,0)),""),"")</f>
        <v>Normal — carbon/emission within norms; no transition-risk concern.</v>
      </c>
      <c r="O60" s="19" t="str">
        <f>IF($J60=1,IFERROR(INDEX('Scoring Engine (Rules)'!$P$5:$P$160,MATCH($A60&amp;"|"&amp;$I60,'Scoring Engine (Rules)'!$R$5:$R$160,0)),""),"")</f>
        <v>No remedial action required. Continue routine monitoring at the standard review cycle and record the reading.</v>
      </c>
      <c r="P60" s="19" t="str">
        <f>IF($J60=1,IFERROR(INDEX('Scoring Engine (Rules)'!$Q$5:$Q$160,MATCH($A60&amp;"|"&amp;$I60,'Scoring Engine (Rules)'!$R$5:$R$160,0)),""),"")</f>
        <v>RM (routine)</v>
      </c>
    </row>
    <row r="61" spans="1:16" ht="60" customHeight="1" x14ac:dyDescent="0.35">
      <c r="A61" s="22" t="s">
        <v>305</v>
      </c>
      <c r="B61" s="19" t="s">
        <v>306</v>
      </c>
      <c r="C61" s="18" t="s">
        <v>29</v>
      </c>
      <c r="D61" s="23" t="str">
        <f>INDEX('Indicator Master'!$F$4:$F$46,MATCH($A61,'Indicator Master'!$A$4:$A$46,0))</f>
        <v>No</v>
      </c>
      <c r="E61" s="22">
        <f>INDEX('Indicator Master'!$N$4:$N$46,MATCH($A61,'Indicator Master'!$A$4:$A$46,0))</f>
        <v>50</v>
      </c>
      <c r="F61" s="37" t="s">
        <v>837</v>
      </c>
      <c r="G61" s="37" t="s">
        <v>837</v>
      </c>
      <c r="H61" s="38" t="s">
        <v>868</v>
      </c>
      <c r="I61" s="37">
        <v>0</v>
      </c>
      <c r="J61" s="23">
        <f t="shared" si="0"/>
        <v>1</v>
      </c>
      <c r="K61" s="39">
        <f>IF($J61=1,$I61/$E61*'Risk Bands (Config)'!$B$5,"")</f>
        <v>0</v>
      </c>
      <c r="L61" s="23">
        <f>IF(AND($D61="Yes",$J61=1,$I61/$E61*'Risk Bands (Config)'!$B$5&gt;='Risk Bands (Config)'!$B$6),1,0)</f>
        <v>0</v>
      </c>
      <c r="M61" s="40" t="str">
        <f t="shared" si="1"/>
        <v>EWS-026</v>
      </c>
      <c r="N61" s="19" t="str">
        <f>IF($J61=1,IFERROR(INDEX('Scoring Engine (Rules)'!$O$5:$O$160,MATCH($A61&amp;"|"&amp;$I61,'Scoring Engine (Rules)'!$R$5:$R$160,0)),""),"")</f>
        <v>Normal — no change in depreciation method; reporting consistent.</v>
      </c>
      <c r="O61" s="19" t="str">
        <f>IF($J61=1,IFERROR(INDEX('Scoring Engine (Rules)'!$P$5:$P$160,MATCH($A61&amp;"|"&amp;$I61,'Scoring Engine (Rules)'!$R$5:$R$160,0)),""),"")</f>
        <v>No remedial action required. Continue routine monitoring at the standard review cycle and record the reading.</v>
      </c>
      <c r="P61" s="19" t="str">
        <f>IF($J61=1,IFERROR(INDEX('Scoring Engine (Rules)'!$Q$5:$Q$160,MATCH($A61&amp;"|"&amp;$I61,'Scoring Engine (Rules)'!$R$5:$R$160,0)),""),"")</f>
        <v>RM (routine)</v>
      </c>
    </row>
    <row r="62" spans="1:16" ht="60" customHeight="1" x14ac:dyDescent="0.35">
      <c r="A62" s="22" t="s">
        <v>313</v>
      </c>
      <c r="B62" s="19" t="s">
        <v>314</v>
      </c>
      <c r="C62" s="18" t="s">
        <v>29</v>
      </c>
      <c r="D62" s="23" t="str">
        <f>INDEX('Indicator Master'!$F$4:$F$46,MATCH($A62,'Indicator Master'!$A$4:$A$46,0))</f>
        <v>No</v>
      </c>
      <c r="E62" s="22">
        <f>INDEX('Indicator Master'!$N$4:$N$46,MATCH($A62,'Indicator Master'!$A$4:$A$46,0))</f>
        <v>50</v>
      </c>
      <c r="F62" s="37" t="s">
        <v>837</v>
      </c>
      <c r="G62" s="37" t="s">
        <v>837</v>
      </c>
      <c r="H62" s="38" t="s">
        <v>868</v>
      </c>
      <c r="I62" s="37">
        <v>0</v>
      </c>
      <c r="J62" s="23">
        <f t="shared" si="0"/>
        <v>1</v>
      </c>
      <c r="K62" s="39">
        <f>IF($J62=1,$I62/$E62*'Risk Bands (Config)'!$B$5,"")</f>
        <v>0</v>
      </c>
      <c r="L62" s="23">
        <f>IF(AND($D62="Yes",$J62=1,$I62/$E62*'Risk Bands (Config)'!$B$5&gt;='Risk Bands (Config)'!$B$6),1,0)</f>
        <v>0</v>
      </c>
      <c r="M62" s="40" t="str">
        <f t="shared" si="1"/>
        <v>EWS-026</v>
      </c>
      <c r="N62" s="19" t="str">
        <f>IF($J62=1,IFERROR(INDEX('Scoring Engine (Rules)'!$O$5:$O$160,MATCH($A62&amp;"|"&amp;$I62,'Scoring Engine (Rules)'!$R$5:$R$160,0)),""),"")</f>
        <v>Normal — no change in inventory-valuation method; reporting consistent.</v>
      </c>
      <c r="O62" s="19" t="str">
        <f>IF($J62=1,IFERROR(INDEX('Scoring Engine (Rules)'!$P$5:$P$160,MATCH($A62&amp;"|"&amp;$I62,'Scoring Engine (Rules)'!$R$5:$R$160,0)),""),"")</f>
        <v>No remedial action required. Continue routine monitoring at the standard review cycle and record the reading.</v>
      </c>
      <c r="P62" s="19" t="str">
        <f>IF($J62=1,IFERROR(INDEX('Scoring Engine (Rules)'!$Q$5:$Q$160,MATCH($A62&amp;"|"&amp;$I62,'Scoring Engine (Rules)'!$R$5:$R$160,0)),""),"")</f>
        <v>RM (routine)</v>
      </c>
    </row>
    <row r="63" spans="1:16" ht="60" customHeight="1" x14ac:dyDescent="0.35">
      <c r="A63" s="22" t="s">
        <v>318</v>
      </c>
      <c r="B63" s="19" t="s">
        <v>319</v>
      </c>
      <c r="C63" s="18" t="s">
        <v>29</v>
      </c>
      <c r="D63" s="23" t="str">
        <f>INDEX('Indicator Master'!$F$4:$F$46,MATCH($A63,'Indicator Master'!$A$4:$A$46,0))</f>
        <v>No</v>
      </c>
      <c r="E63" s="22">
        <f>INDEX('Indicator Master'!$N$4:$N$46,MATCH($A63,'Indicator Master'!$A$4:$A$46,0))</f>
        <v>40</v>
      </c>
      <c r="F63" s="37" t="s">
        <v>837</v>
      </c>
      <c r="G63" s="37" t="s">
        <v>837</v>
      </c>
      <c r="H63" s="38" t="s">
        <v>860</v>
      </c>
      <c r="I63" s="37">
        <v>40</v>
      </c>
      <c r="J63" s="23">
        <f t="shared" si="0"/>
        <v>1</v>
      </c>
      <c r="K63" s="39">
        <f>IF($J63=1,$I63/$E63*'Risk Bands (Config)'!$B$5,"")</f>
        <v>100</v>
      </c>
      <c r="L63" s="23">
        <f>IF(AND($D63="Yes",$J63=1,$I63/$E63*'Risk Bands (Config)'!$B$5&gt;='Risk Bands (Config)'!$B$6),1,0)</f>
        <v>0</v>
      </c>
      <c r="M63" s="40" t="str">
        <f t="shared" si="1"/>
        <v>EWS-026</v>
      </c>
      <c r="N63" s="19" t="str">
        <f>IF($J63=1,IFERROR(INDEX('Scoring Engine (Rules)'!$O$5:$O$160,MATCH($A63&amp;"|"&amp;$I63,'Scoring Engine (Rules)'!$R$5:$R$160,0)),""),"")</f>
        <v>Severe / critical — DSCR below 1.25; thin-to-inadequate coverage, cash accruals may not comfortably cover debt service.</v>
      </c>
      <c r="O63" s="19" t="str">
        <f>IF($J63=1,IFERROR(INDEX('Scoring Engine (Rules)'!$P$5:$P$160,MATCH($A63&amp;"|"&amp;$I63,'Scoring Engine (Rules)'!$R$5:$R$160,0)),""),"")</f>
        <v>1) Reassess repayment capacity, refinancing risk and viability. 2) Corrective / restructuring assessment. 3) Escalate to Credit.</v>
      </c>
      <c r="P63" s="19" t="str">
        <f>IF($J63=1,IFERROR(INDEX('Scoring Engine (Rules)'!$Q$5:$Q$160,MATCH($A63&amp;"|"&amp;$I63,'Scoring Engine (Rules)'!$R$5:$R$160,0)),""),"")</f>
        <v>Credit Head / Risk</v>
      </c>
    </row>
    <row r="64" spans="1:16" ht="60" customHeight="1" x14ac:dyDescent="0.35">
      <c r="A64" s="22" t="s">
        <v>328</v>
      </c>
      <c r="B64" s="19" t="s">
        <v>329</v>
      </c>
      <c r="C64" s="18" t="s">
        <v>29</v>
      </c>
      <c r="D64" s="23" t="str">
        <f>INDEX('Indicator Master'!$F$4:$F$46,MATCH($A64,'Indicator Master'!$A$4:$A$46,0))</f>
        <v>No</v>
      </c>
      <c r="E64" s="22">
        <f>INDEX('Indicator Master'!$N$4:$N$46,MATCH($A64,'Indicator Master'!$A$4:$A$46,0))</f>
        <v>40</v>
      </c>
      <c r="F64" s="37" t="s">
        <v>837</v>
      </c>
      <c r="G64" s="37" t="s">
        <v>837</v>
      </c>
      <c r="H64" s="38" t="s">
        <v>860</v>
      </c>
      <c r="I64" s="37">
        <v>40</v>
      </c>
      <c r="J64" s="23">
        <f t="shared" si="0"/>
        <v>1</v>
      </c>
      <c r="K64" s="39">
        <f>IF($J64=1,$I64/$E64*'Risk Bands (Config)'!$B$5,"")</f>
        <v>100</v>
      </c>
      <c r="L64" s="23">
        <f>IF(AND($D64="Yes",$J64=1,$I64/$E64*'Risk Bands (Config)'!$B$5&gt;='Risk Bands (Config)'!$B$6),1,0)</f>
        <v>0</v>
      </c>
      <c r="M64" s="40" t="str">
        <f t="shared" si="1"/>
        <v>EWS-026</v>
      </c>
      <c r="N64" s="19" t="str">
        <f>IF($J64=1,IFERROR(INDEX('Scoring Engine (Rules)'!$O$5:$O$160,MATCH($A64&amp;"|"&amp;$I64,'Scoring Engine (Rules)'!$R$5:$R$160,0)),""),"")</f>
        <v>Severe / critical — leverage above 3.0; high/severe, thin net worth relative to debt and over-leverage risk.</v>
      </c>
      <c r="O64" s="19" t="str">
        <f>IF($J64=1,IFERROR(INDEX('Scoring Engine (Rules)'!$P$5:$P$160,MATCH($A64&amp;"|"&amp;$I64,'Scoring Engine (Rules)'!$R$5:$R$160,0)),""),"")</f>
        <v>1) Reassess leverage and net-worth adequacy; seek promoter infusion. 2) Corrective / viability review. 3) Escalate to Credit.</v>
      </c>
      <c r="P64" s="19" t="str">
        <f>IF($J64=1,IFERROR(INDEX('Scoring Engine (Rules)'!$Q$5:$Q$160,MATCH($A64&amp;"|"&amp;$I64,'Scoring Engine (Rules)'!$R$5:$R$160,0)),""),"")</f>
        <v>Credit Head / Risk</v>
      </c>
    </row>
    <row r="65" spans="1:16" ht="60" customHeight="1" x14ac:dyDescent="0.35">
      <c r="A65" s="22" t="s">
        <v>334</v>
      </c>
      <c r="B65" s="19" t="s">
        <v>335</v>
      </c>
      <c r="C65" s="18" t="s">
        <v>29</v>
      </c>
      <c r="D65" s="23" t="str">
        <f>INDEX('Indicator Master'!$F$4:$F$46,MATCH($A65,'Indicator Master'!$A$4:$A$46,0))</f>
        <v>No</v>
      </c>
      <c r="E65" s="22">
        <f>INDEX('Indicator Master'!$N$4:$N$46,MATCH($A65,'Indicator Master'!$A$4:$A$46,0))</f>
        <v>40</v>
      </c>
      <c r="F65" s="37" t="s">
        <v>837</v>
      </c>
      <c r="G65" s="37" t="s">
        <v>837</v>
      </c>
      <c r="H65" s="38" t="s">
        <v>860</v>
      </c>
      <c r="I65" s="37">
        <v>10</v>
      </c>
      <c r="J65" s="23">
        <f t="shared" si="0"/>
        <v>1</v>
      </c>
      <c r="K65" s="39">
        <f>IF($J65=1,$I65/$E65*'Risk Bands (Config)'!$B$5,"")</f>
        <v>25</v>
      </c>
      <c r="L65" s="23">
        <f>IF(AND($D65="Yes",$J65=1,$I65/$E65*'Risk Bands (Config)'!$B$5&gt;='Risk Bands (Config)'!$B$6),1,0)</f>
        <v>0</v>
      </c>
      <c r="M65" s="40" t="str">
        <f t="shared" si="1"/>
        <v>EWS-026</v>
      </c>
      <c r="N65" s="19" t="str">
        <f>IF($J65=1,IFERROR(INDEX('Scoring Engine (Rules)'!$O$5:$O$160,MATCH($A65&amp;"|"&amp;$I65,'Scoring Engine (Rules)'!$R$5:$R$160,0)),""),"")</f>
        <v>Early warning — current ratio 1.00–1.33; adequate but easing liquidity buffer.</v>
      </c>
      <c r="O65" s="19" t="str">
        <f>IF($J65=1,IFERROR(INDEX('Scoring Engine (Rules)'!$P$5:$P$160,MATCH($A65&amp;"|"&amp;$I65,'Scoring Engine (Rules)'!$R$5:$R$160,0)),""),"")</f>
        <v>1) Review the working-capital position and NWC adequacy. 2) Watch next statement.</v>
      </c>
      <c r="P65" s="19" t="str">
        <f>IF($J65=1,IFERROR(INDEX('Scoring Engine (Rules)'!$Q$5:$Q$160,MATCH($A65&amp;"|"&amp;$I65,'Scoring Engine (Rules)'!$R$5:$R$160,0)),""),"")</f>
        <v>Relationship Manager (Branch)</v>
      </c>
    </row>
    <row r="67" spans="1:16" ht="15" customHeight="1" x14ac:dyDescent="0.35">
      <c r="A67" s="7" t="s">
        <v>869</v>
      </c>
      <c r="B67" s="7"/>
      <c r="C67" s="7"/>
      <c r="D67" s="7"/>
      <c r="E67" s="7"/>
      <c r="F67" s="7"/>
      <c r="G67" s="7"/>
      <c r="H67" s="7"/>
      <c r="I67" s="7"/>
      <c r="J67" s="7"/>
      <c r="K67" s="7"/>
      <c r="L67" s="7"/>
      <c r="M67" s="7"/>
      <c r="N67" s="7"/>
      <c r="O67" s="7"/>
      <c r="P67" s="7"/>
    </row>
    <row r="68" spans="1:16" ht="15" customHeight="1" x14ac:dyDescent="0.35">
      <c r="A68" s="29" t="s">
        <v>870</v>
      </c>
      <c r="B68" s="41"/>
      <c r="C68" s="9" t="s">
        <v>871</v>
      </c>
      <c r="D68" s="9"/>
      <c r="E68" s="9"/>
      <c r="F68" s="9"/>
      <c r="G68" s="9"/>
      <c r="H68" s="9"/>
      <c r="I68" s="9"/>
      <c r="J68" s="9"/>
      <c r="K68" s="9"/>
      <c r="L68" s="9"/>
      <c r="M68" s="9"/>
      <c r="N68" s="9"/>
      <c r="O68" s="9"/>
      <c r="P68" s="9"/>
    </row>
    <row r="69" spans="1:16" ht="15" customHeight="1" x14ac:dyDescent="0.35">
      <c r="A69" s="29" t="s">
        <v>872</v>
      </c>
      <c r="B69" s="33" t="str">
        <f>IF($B$68="","(enter previous score)",$B$14-$B$68)</f>
        <v>(enter previous score)</v>
      </c>
      <c r="C69" s="9" t="s">
        <v>873</v>
      </c>
      <c r="D69" s="9"/>
      <c r="E69" s="9"/>
      <c r="F69" s="9"/>
      <c r="G69" s="9"/>
      <c r="H69" s="9"/>
      <c r="I69" s="9"/>
      <c r="J69" s="9"/>
      <c r="K69" s="9"/>
      <c r="L69" s="9"/>
      <c r="M69" s="9"/>
      <c r="N69" s="9"/>
      <c r="O69" s="9"/>
      <c r="P69" s="9"/>
    </row>
    <row r="70" spans="1:16" ht="15" customHeight="1" x14ac:dyDescent="0.35">
      <c r="A70" s="29" t="s">
        <v>874</v>
      </c>
      <c r="B70" s="30" t="str">
        <f>IF($B$12&gt;='Risk Bands (Config)'!$B$16,"Adequate","LOW — insufficient data; treat score as low-confidence")</f>
        <v>Adequate</v>
      </c>
      <c r="C70" s="9" t="s">
        <v>875</v>
      </c>
      <c r="D70" s="9"/>
      <c r="E70" s="9"/>
      <c r="F70" s="9"/>
      <c r="G70" s="9"/>
      <c r="H70" s="9"/>
      <c r="I70" s="9"/>
      <c r="J70" s="9"/>
      <c r="K70" s="9"/>
      <c r="L70" s="9"/>
      <c r="M70" s="9"/>
      <c r="N70" s="9"/>
      <c r="O70" s="9"/>
      <c r="P70" s="9"/>
    </row>
    <row r="72" spans="1:16" ht="15" customHeight="1" x14ac:dyDescent="0.35">
      <c r="A72" s="6" t="s">
        <v>876</v>
      </c>
      <c r="B72" s="6"/>
      <c r="C72" s="6"/>
      <c r="D72" s="6"/>
      <c r="E72" s="6"/>
      <c r="F72" s="6"/>
      <c r="G72" s="6"/>
      <c r="H72" s="6"/>
      <c r="I72" s="6"/>
      <c r="J72" s="6"/>
      <c r="K72" s="6"/>
      <c r="L72" s="6"/>
      <c r="M72" s="6"/>
      <c r="N72" s="6"/>
      <c r="O72" s="6"/>
      <c r="P72" s="6"/>
    </row>
    <row r="73" spans="1:16" ht="21.75" customHeight="1" x14ac:dyDescent="0.35">
      <c r="A73" s="36" t="s">
        <v>877</v>
      </c>
      <c r="B73" s="36" t="s">
        <v>878</v>
      </c>
      <c r="C73" s="36" t="s">
        <v>879</v>
      </c>
      <c r="D73" s="36" t="s">
        <v>880</v>
      </c>
      <c r="E73" s="36" t="s">
        <v>881</v>
      </c>
      <c r="F73" s="36" t="s">
        <v>882</v>
      </c>
      <c r="G73" s="36"/>
      <c r="H73" s="36"/>
      <c r="I73" s="36"/>
      <c r="J73" s="36"/>
      <c r="K73" s="36"/>
      <c r="L73" s="36"/>
      <c r="M73" s="36"/>
      <c r="N73" s="36"/>
      <c r="O73" s="36"/>
      <c r="P73" s="36"/>
    </row>
    <row r="74" spans="1:16" ht="53.25" customHeight="1" x14ac:dyDescent="0.35">
      <c r="A74" s="19" t="s">
        <v>883</v>
      </c>
      <c r="B74" s="19" t="str">
        <f>"EWS-004"&amp;" — "&amp;INDEX($B$23:$B$65,MATCH("EWS-004",$A$23:$A$65,0))</f>
        <v>EWS-004 — Payment Default Frequency</v>
      </c>
      <c r="C74" s="19" t="str">
        <f>"EWS-011"&amp;" — "&amp;INDEX($B$23:$B$65,MATCH("EWS-011",$A$23:$A$65,0))</f>
        <v xml:space="preserve">EWS-011 — Creditor days vs normal </v>
      </c>
      <c r="D74" s="23" t="str">
        <f>IF(AND($J$26=1,$I$26/$E$26*'Risk Bands (Config)'!$B$5&gt;='Risk Bands (Config)'!$B$23),"YES","NO")</f>
        <v>YES</v>
      </c>
      <c r="E74" s="23" t="str">
        <f>IF(AND($J$33=1,$I$33/$E$33*'Risk Bands (Config)'!$B$5&gt;='Risk Bands (Config)'!$B$23),"YES","NO")</f>
        <v>YES</v>
      </c>
      <c r="F74" s="23">
        <f>IF(AND($D74="YES",$E74="YES"),1,0)</f>
        <v>1</v>
      </c>
    </row>
    <row r="75" spans="1:16" ht="74.25" customHeight="1" x14ac:dyDescent="0.35">
      <c r="A75" s="19" t="s">
        <v>884</v>
      </c>
      <c r="B75" s="19" t="str">
        <f>"EWS-005"&amp;" — "&amp;INDEX($B$23:$B$65,MATCH("EWS-005",$A$23:$A$65,0))</f>
        <v>EWS-005 — Repayment source classification</v>
      </c>
      <c r="C75" s="19" t="str">
        <f>"EWS-014"&amp;" — "&amp;INDEX($B$23:$B$65,MATCH("EWS-014",$A$23:$A$65,0))</f>
        <v>EWS-014 — Unsecured loans change %</v>
      </c>
      <c r="D75" s="23" t="str">
        <f>IF(AND($J$27=1,$I$27/$E$27*'Risk Bands (Config)'!$B$5&gt;='Risk Bands (Config)'!$B$23),"YES","NO")</f>
        <v>NO</v>
      </c>
      <c r="E75" s="23" t="str">
        <f>IF(AND($J$36=1,$I$36/$E$36*'Risk Bands (Config)'!$B$5&gt;='Risk Bands (Config)'!$B$23),"YES","NO")</f>
        <v>YES</v>
      </c>
      <c r="F75" s="23">
        <f>IF(AND($D75="YES",$E75="YES"),1,0)</f>
        <v>0</v>
      </c>
    </row>
    <row r="76" spans="1:16" ht="53.25" customHeight="1" x14ac:dyDescent="0.35">
      <c r="A76" s="19" t="s">
        <v>885</v>
      </c>
      <c r="B76" s="19" t="str">
        <f>"EWS-009"&amp;" — "&amp;INDEX($B$23:$B$65,MATCH("EWS-009",$A$23:$A$65,0))</f>
        <v xml:space="preserve">EWS-009 — Debtor days vs normal </v>
      </c>
      <c r="C76" s="19" t="str">
        <f>"EWS-012"&amp;" — "&amp;INDEX($B$23:$B$65,MATCH("EWS-012",$A$23:$A$65,0))</f>
        <v>EWS-012 — Provisions/write-offs change %</v>
      </c>
      <c r="D76" s="23" t="str">
        <f>IF(AND($J$31=1,$I$31/$E$31*'Risk Bands (Config)'!$B$5&gt;='Risk Bands (Config)'!$B$23),"YES","NO")</f>
        <v>YES</v>
      </c>
      <c r="E76" s="23" t="str">
        <f>IF(AND($J$34=1,$I$34/$E$34*'Risk Bands (Config)'!$B$5&gt;='Risk Bands (Config)'!$B$23),"YES","NO")</f>
        <v>YES</v>
      </c>
      <c r="F76" s="23">
        <f>IF(AND($D76="YES",$E76="YES"),1,0)</f>
        <v>1</v>
      </c>
    </row>
    <row r="77" spans="1:16" ht="15" customHeight="1" x14ac:dyDescent="0.35">
      <c r="A77" s="27" t="s">
        <v>886</v>
      </c>
      <c r="B77" s="34" t="str">
        <f>IF(SUM($F$74:$F$76)&gt;0,"YES","NO")</f>
        <v>YES</v>
      </c>
      <c r="C77" s="9" t="s">
        <v>887</v>
      </c>
      <c r="D77" s="9"/>
      <c r="E77" s="9"/>
      <c r="F77" s="9"/>
      <c r="G77" s="9"/>
      <c r="H77" s="9"/>
      <c r="I77" s="9"/>
      <c r="J77" s="9"/>
      <c r="K77" s="9"/>
      <c r="L77" s="9"/>
      <c r="M77" s="9"/>
      <c r="N77" s="9"/>
      <c r="O77" s="9"/>
      <c r="P77" s="9"/>
    </row>
    <row r="78" spans="1:16" ht="15" customHeight="1" x14ac:dyDescent="0.35">
      <c r="A78" s="27" t="s">
        <v>888</v>
      </c>
      <c r="B78" s="34" t="str">
        <f>IF(LEN(IF($F$74=1,"Pair 1; ","")&amp;IF($F$75=1,"Pair 2; ","")&amp;IF($F$76=1,"Pair 3; ",""))=0,"None",LEFT(IF($F$74=1,"Pair 1; ","")&amp;IF($F$75=1,"Pair 2; ","")&amp;IF($F$76=1,"Pair 3; ",""),LEN(IF($F$74=1,"Pair 1; ","")&amp;IF($F$75=1,"Pair 2; ","")&amp;IF($F$76=1,"Pair 3; ",""))-2))</f>
        <v>Pair 1; Pair 3</v>
      </c>
      <c r="C78" s="5"/>
      <c r="D78" s="5"/>
      <c r="E78" s="5"/>
      <c r="F78" s="5"/>
      <c r="G78" s="5"/>
      <c r="H78" s="5"/>
      <c r="I78" s="5"/>
      <c r="J78" s="5"/>
      <c r="K78" s="5"/>
      <c r="L78" s="5"/>
      <c r="M78" s="5"/>
      <c r="N78" s="5"/>
      <c r="O78" s="5"/>
      <c r="P78" s="5"/>
    </row>
  </sheetData>
  <mergeCells count="17">
    <mergeCell ref="C77:P77"/>
    <mergeCell ref="C78:P78"/>
    <mergeCell ref="A67:P67"/>
    <mergeCell ref="C68:P68"/>
    <mergeCell ref="C69:P69"/>
    <mergeCell ref="C70:P70"/>
    <mergeCell ref="A72:P72"/>
    <mergeCell ref="C12:P12"/>
    <mergeCell ref="C14:P14"/>
    <mergeCell ref="C15:P15"/>
    <mergeCell ref="C16:P16"/>
    <mergeCell ref="A20:P20"/>
    <mergeCell ref="A1:P1"/>
    <mergeCell ref="A2:P2"/>
    <mergeCell ref="C8:P8"/>
    <mergeCell ref="C9:P9"/>
    <mergeCell ref="C10:P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zoomScaleNormal="100" workbookViewId="0">
      <selection sqref="A1:G1"/>
    </sheetView>
  </sheetViews>
  <sheetFormatPr defaultColWidth="8.6328125" defaultRowHeight="14.5" x14ac:dyDescent="0.35"/>
  <cols>
    <col min="1" max="1" width="10" customWidth="1"/>
    <col min="2" max="3" width="30" customWidth="1"/>
    <col min="4" max="5" width="10" customWidth="1"/>
    <col min="6" max="6" width="12" customWidth="1"/>
    <col min="7" max="7" width="30" customWidth="1"/>
  </cols>
  <sheetData>
    <row r="1" spans="1:7" ht="30" customHeight="1" x14ac:dyDescent="0.35">
      <c r="A1" s="14" t="s">
        <v>889</v>
      </c>
      <c r="B1" s="14"/>
      <c r="C1" s="14"/>
      <c r="D1" s="14"/>
      <c r="E1" s="14"/>
      <c r="F1" s="14"/>
      <c r="G1" s="14"/>
    </row>
    <row r="2" spans="1:7" ht="25.5" customHeight="1" x14ac:dyDescent="0.35">
      <c r="A2" s="13" t="s">
        <v>890</v>
      </c>
      <c r="B2" s="13"/>
      <c r="C2" s="13"/>
      <c r="D2" s="13"/>
      <c r="E2" s="13"/>
      <c r="F2" s="13"/>
      <c r="G2" s="13"/>
    </row>
    <row r="4" spans="1:7" ht="34.5" customHeight="1" x14ac:dyDescent="0.35">
      <c r="A4" s="4" t="s">
        <v>891</v>
      </c>
      <c r="B4" s="4"/>
      <c r="C4" s="4"/>
      <c r="D4" s="4"/>
      <c r="E4" s="4"/>
      <c r="F4" s="4"/>
      <c r="G4" s="4"/>
    </row>
    <row r="6" spans="1:7" ht="27.75" customHeight="1" x14ac:dyDescent="0.35">
      <c r="A6" s="36" t="s">
        <v>892</v>
      </c>
      <c r="B6" s="36" t="s">
        <v>821</v>
      </c>
      <c r="C6" s="36" t="s">
        <v>816</v>
      </c>
      <c r="D6" s="36" t="s">
        <v>893</v>
      </c>
      <c r="E6" s="36" t="s">
        <v>894</v>
      </c>
      <c r="F6" s="36" t="s">
        <v>826</v>
      </c>
    </row>
    <row r="7" spans="1:7" ht="15" customHeight="1" x14ac:dyDescent="0.35">
      <c r="A7" s="42">
        <f>'Overall Score Engine'!$B$14</f>
        <v>28.703703703703702</v>
      </c>
      <c r="B7" s="43" t="str">
        <f>'Overall Score Engine'!$B$15</f>
        <v>Yellow</v>
      </c>
      <c r="C7" s="44">
        <f>'Overall Score Engine'!$B$12</f>
        <v>92.307692307692307</v>
      </c>
      <c r="D7" s="43" t="str">
        <f>'Overall Score Engine'!$B$16</f>
        <v>YES</v>
      </c>
      <c r="E7" s="43" t="str">
        <f>'Overall Score Engine'!$B$17</f>
        <v>EWS-026</v>
      </c>
      <c r="F7" s="45" t="str">
        <f>'Overall Score Engine'!$B$18</f>
        <v>CRITICAL (Override)</v>
      </c>
    </row>
    <row r="9" spans="1:7" ht="15" customHeight="1" x14ac:dyDescent="0.35">
      <c r="A9" s="3" t="s">
        <v>895</v>
      </c>
      <c r="B9" s="3"/>
      <c r="C9" s="3"/>
      <c r="D9" s="3"/>
      <c r="E9" s="3"/>
      <c r="F9" s="3"/>
      <c r="G9" s="3"/>
    </row>
    <row r="10" spans="1:7" ht="25.5" customHeight="1" x14ac:dyDescent="0.35">
      <c r="A10" s="15" t="s">
        <v>896</v>
      </c>
      <c r="B10" s="15" t="s">
        <v>878</v>
      </c>
      <c r="C10" s="15" t="s">
        <v>879</v>
      </c>
      <c r="D10" s="15" t="s">
        <v>880</v>
      </c>
      <c r="E10" s="15" t="s">
        <v>881</v>
      </c>
      <c r="F10" s="15" t="s">
        <v>882</v>
      </c>
      <c r="G10" s="15" t="s">
        <v>897</v>
      </c>
    </row>
    <row r="11" spans="1:7" ht="53.25" customHeight="1" x14ac:dyDescent="0.35">
      <c r="A11" s="19" t="str">
        <f>'Overall Score Engine'!$A$74</f>
        <v>Pair 1: Payment defaults + stretched creditors</v>
      </c>
      <c r="B11" s="19" t="str">
        <f>'Overall Score Engine'!$B$74</f>
        <v>EWS-004 — Payment Default Frequency</v>
      </c>
      <c r="C11" s="19" t="str">
        <f>'Overall Score Engine'!$C$74</f>
        <v xml:space="preserve">EWS-011 — Creditor days vs normal </v>
      </c>
      <c r="D11" s="23" t="str">
        <f>'Overall Score Engine'!$D$74</f>
        <v>YES</v>
      </c>
      <c r="E11" s="23" t="str">
        <f>'Overall Score Engine'!$E$74</f>
        <v>YES</v>
      </c>
      <c r="F11" s="22">
        <f>'Overall Score Engine'!$F$74</f>
        <v>1</v>
      </c>
      <c r="G11" s="47" t="s">
        <v>898</v>
      </c>
    </row>
    <row r="12" spans="1:7" ht="74.25" customHeight="1" x14ac:dyDescent="0.35">
      <c r="A12" s="19" t="str">
        <f>'Overall Score Engine'!$A$75</f>
        <v>Pair 2: Non-core repayment source + rising unsecured loans</v>
      </c>
      <c r="B12" s="19" t="str">
        <f>'Overall Score Engine'!$B$75</f>
        <v>EWS-005 — Repayment source classification</v>
      </c>
      <c r="C12" s="19" t="str">
        <f>'Overall Score Engine'!$C$75</f>
        <v>EWS-014 — Unsecured loans change %</v>
      </c>
      <c r="D12" s="23" t="str">
        <f>'Overall Score Engine'!$D$75</f>
        <v>NO</v>
      </c>
      <c r="E12" s="23" t="str">
        <f>'Overall Score Engine'!$E$75</f>
        <v>YES</v>
      </c>
      <c r="F12" s="22">
        <f>'Overall Score Engine'!$F$75</f>
        <v>0</v>
      </c>
      <c r="G12" s="47" t="s">
        <v>898</v>
      </c>
    </row>
    <row r="13" spans="1:7" ht="53.25" customHeight="1" x14ac:dyDescent="0.35">
      <c r="A13" s="19" t="str">
        <f>'Overall Score Engine'!$A$76</f>
        <v>Pair 3: Stretched debtors + rising provisions</v>
      </c>
      <c r="B13" s="19" t="str">
        <f>'Overall Score Engine'!$B$76</f>
        <v xml:space="preserve">EWS-009 — Debtor days vs normal </v>
      </c>
      <c r="C13" s="19" t="str">
        <f>'Overall Score Engine'!$C$76</f>
        <v>EWS-012 — Provisions/write-offs change %</v>
      </c>
      <c r="D13" s="23" t="str">
        <f>'Overall Score Engine'!$D$76</f>
        <v>YES</v>
      </c>
      <c r="E13" s="23" t="str">
        <f>'Overall Score Engine'!$E$76</f>
        <v>YES</v>
      </c>
      <c r="F13" s="22">
        <f>'Overall Score Engine'!$F$76</f>
        <v>1</v>
      </c>
      <c r="G13" s="47" t="s">
        <v>898</v>
      </c>
    </row>
    <row r="15" spans="1:7" ht="21.75" customHeight="1" x14ac:dyDescent="0.35">
      <c r="A15" s="2" t="s">
        <v>899</v>
      </c>
      <c r="B15" s="2"/>
      <c r="C15" s="2"/>
      <c r="D15" s="2"/>
      <c r="E15" s="2"/>
      <c r="F15" s="2"/>
      <c r="G15" s="2"/>
    </row>
  </sheetData>
  <mergeCells count="5">
    <mergeCell ref="A1:G1"/>
    <mergeCell ref="A2:G2"/>
    <mergeCell ref="A4:G4"/>
    <mergeCell ref="A9:G9"/>
    <mergeCell ref="A15:G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zoomScale="94" zoomScaleNormal="94" workbookViewId="0">
      <selection activeCell="D26" sqref="D26:F26"/>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1" t="s">
        <v>900</v>
      </c>
      <c r="B1" s="1"/>
      <c r="C1" s="1"/>
      <c r="D1" s="1"/>
      <c r="E1" s="1"/>
      <c r="F1" s="1"/>
    </row>
    <row r="2" spans="1:6" ht="24" hidden="1" customHeight="1" x14ac:dyDescent="0.35">
      <c r="A2" s="98" t="s">
        <v>901</v>
      </c>
      <c r="B2" s="98"/>
      <c r="C2" s="98"/>
      <c r="D2" s="98"/>
      <c r="E2" s="98"/>
      <c r="F2" s="98"/>
    </row>
    <row r="4" spans="1:6" ht="15" customHeight="1" x14ac:dyDescent="0.35">
      <c r="A4" s="48" t="s">
        <v>902</v>
      </c>
      <c r="B4" s="48" t="s">
        <v>903</v>
      </c>
      <c r="C4" s="99" t="s">
        <v>897</v>
      </c>
      <c r="D4" s="99"/>
      <c r="E4" s="99"/>
      <c r="F4" s="99"/>
    </row>
    <row r="5" spans="1:6" ht="15" customHeight="1" x14ac:dyDescent="0.35">
      <c r="A5" s="49" t="s">
        <v>904</v>
      </c>
      <c r="B5" s="50">
        <v>100</v>
      </c>
      <c r="C5" s="100" t="s">
        <v>905</v>
      </c>
      <c r="D5" s="100"/>
      <c r="E5" s="100"/>
      <c r="F5" s="100"/>
    </row>
    <row r="6" spans="1:6" ht="15" customHeight="1" x14ac:dyDescent="0.35">
      <c r="A6" s="49" t="s">
        <v>906</v>
      </c>
      <c r="B6" s="50">
        <v>100</v>
      </c>
      <c r="C6" s="100" t="s">
        <v>907</v>
      </c>
      <c r="D6" s="100"/>
      <c r="E6" s="100"/>
      <c r="F6" s="100"/>
    </row>
    <row r="8" spans="1:6" ht="27.75" customHeight="1" x14ac:dyDescent="0.35">
      <c r="A8" s="51" t="s">
        <v>908</v>
      </c>
      <c r="B8" s="51" t="s">
        <v>909</v>
      </c>
      <c r="C8" s="51" t="s">
        <v>910</v>
      </c>
      <c r="D8" s="51" t="s">
        <v>911</v>
      </c>
      <c r="E8" s="51" t="s">
        <v>912</v>
      </c>
      <c r="F8" s="51" t="s">
        <v>913</v>
      </c>
    </row>
    <row r="9" spans="1:6" ht="14.25" customHeight="1" x14ac:dyDescent="0.35">
      <c r="A9" s="52" t="s">
        <v>914</v>
      </c>
      <c r="B9" s="53">
        <v>0</v>
      </c>
      <c r="C9" s="53">
        <v>19</v>
      </c>
      <c r="D9" s="53">
        <v>0</v>
      </c>
      <c r="E9" s="54" t="s">
        <v>915</v>
      </c>
      <c r="F9" s="54" t="s">
        <v>916</v>
      </c>
    </row>
    <row r="10" spans="1:6" ht="14.25" customHeight="1" x14ac:dyDescent="0.35">
      <c r="A10" s="55" t="s">
        <v>917</v>
      </c>
      <c r="B10" s="53">
        <v>20</v>
      </c>
      <c r="C10" s="53">
        <v>39</v>
      </c>
      <c r="D10" s="53">
        <v>20</v>
      </c>
      <c r="E10" s="54" t="s">
        <v>918</v>
      </c>
      <c r="F10" s="54" t="s">
        <v>919</v>
      </c>
    </row>
    <row r="11" spans="1:6" ht="14.25" customHeight="1" x14ac:dyDescent="0.35">
      <c r="A11" s="56" t="s">
        <v>920</v>
      </c>
      <c r="B11" s="53">
        <v>40</v>
      </c>
      <c r="C11" s="53">
        <v>59</v>
      </c>
      <c r="D11" s="53">
        <v>40</v>
      </c>
      <c r="E11" s="54" t="s">
        <v>921</v>
      </c>
      <c r="F11" s="54" t="s">
        <v>922</v>
      </c>
    </row>
    <row r="12" spans="1:6" ht="14.25" customHeight="1" x14ac:dyDescent="0.35">
      <c r="A12" s="57" t="s">
        <v>923</v>
      </c>
      <c r="B12" s="53">
        <v>60</v>
      </c>
      <c r="C12" s="53">
        <v>79</v>
      </c>
      <c r="D12" s="53">
        <v>60</v>
      </c>
      <c r="E12" s="54" t="s">
        <v>924</v>
      </c>
      <c r="F12" s="54" t="s">
        <v>925</v>
      </c>
    </row>
    <row r="13" spans="1:6" ht="14.25" customHeight="1" x14ac:dyDescent="0.35">
      <c r="A13" s="58" t="s">
        <v>829</v>
      </c>
      <c r="B13" s="53">
        <v>80</v>
      </c>
      <c r="C13" s="53">
        <v>100</v>
      </c>
      <c r="D13" s="53">
        <v>80</v>
      </c>
      <c r="E13" s="54" t="s">
        <v>926</v>
      </c>
      <c r="F13" s="54" t="s">
        <v>927</v>
      </c>
    </row>
    <row r="15" spans="1:6" ht="14.25" customHeight="1" x14ac:dyDescent="0.35">
      <c r="A15" s="101" t="s">
        <v>928</v>
      </c>
      <c r="B15" s="101"/>
      <c r="C15" s="101"/>
      <c r="D15" s="101"/>
      <c r="E15" s="101"/>
      <c r="F15" s="101"/>
    </row>
    <row r="16" spans="1:6" ht="14.25" customHeight="1" x14ac:dyDescent="0.35">
      <c r="A16" s="59" t="s">
        <v>929</v>
      </c>
      <c r="B16" s="60">
        <v>60</v>
      </c>
      <c r="C16" s="102" t="s">
        <v>930</v>
      </c>
      <c r="D16" s="102"/>
      <c r="E16" s="102"/>
      <c r="F16" s="102"/>
    </row>
    <row r="18" spans="1:6" ht="28.5" hidden="1" customHeight="1" x14ac:dyDescent="0.35">
      <c r="A18" s="61" t="s">
        <v>931</v>
      </c>
      <c r="B18" s="103" t="s">
        <v>932</v>
      </c>
      <c r="C18" s="103"/>
      <c r="D18" s="103"/>
      <c r="E18" s="103"/>
      <c r="F18" s="103"/>
    </row>
    <row r="19" spans="1:6" ht="14.25" customHeight="1" x14ac:dyDescent="0.35">
      <c r="A19" s="62"/>
      <c r="B19" s="62"/>
      <c r="C19" s="62"/>
      <c r="D19" s="62"/>
      <c r="E19" s="62"/>
      <c r="F19" s="62"/>
    </row>
    <row r="20" spans="1:6" ht="25.5" hidden="1" customHeight="1" x14ac:dyDescent="0.35">
      <c r="A20" s="61" t="s">
        <v>933</v>
      </c>
      <c r="B20" s="104" t="s">
        <v>934</v>
      </c>
      <c r="C20" s="104"/>
      <c r="D20" s="104"/>
      <c r="E20" s="104"/>
      <c r="F20" s="104"/>
    </row>
    <row r="21" spans="1:6" ht="14.25" customHeight="1" x14ac:dyDescent="0.35">
      <c r="A21" s="62"/>
      <c r="B21" s="62"/>
      <c r="C21" s="62"/>
      <c r="D21" s="62"/>
      <c r="E21" s="62"/>
      <c r="F21" s="62"/>
    </row>
    <row r="22" spans="1:6" ht="14.25" customHeight="1" x14ac:dyDescent="0.35">
      <c r="A22" s="105" t="s">
        <v>876</v>
      </c>
      <c r="B22" s="105"/>
      <c r="C22" s="105"/>
      <c r="D22" s="105"/>
      <c r="E22" s="105"/>
      <c r="F22" s="105"/>
    </row>
    <row r="23" spans="1:6" ht="39.75" customHeight="1" x14ac:dyDescent="0.35">
      <c r="A23" s="63" t="s">
        <v>935</v>
      </c>
      <c r="B23" s="64">
        <v>1</v>
      </c>
      <c r="C23" s="104" t="s">
        <v>936</v>
      </c>
      <c r="D23" s="104"/>
      <c r="E23" s="104"/>
      <c r="F23" s="104"/>
    </row>
    <row r="25" spans="1:6" ht="14.25" customHeight="1" x14ac:dyDescent="0.35">
      <c r="A25" s="65" t="s">
        <v>877</v>
      </c>
      <c r="B25" s="65" t="s">
        <v>878</v>
      </c>
      <c r="C25" s="65" t="s">
        <v>879</v>
      </c>
      <c r="D25" s="65" t="s">
        <v>937</v>
      </c>
    </row>
    <row r="26" spans="1:6" ht="14.25" customHeight="1" x14ac:dyDescent="0.35">
      <c r="A26" s="66" t="s">
        <v>938</v>
      </c>
      <c r="B26" s="67" t="s">
        <v>57</v>
      </c>
      <c r="C26" s="67" t="s">
        <v>103</v>
      </c>
      <c r="D26" s="106" t="s">
        <v>939</v>
      </c>
      <c r="E26" s="106"/>
      <c r="F26" s="106"/>
    </row>
    <row r="27" spans="1:6" ht="14.25" customHeight="1" x14ac:dyDescent="0.35">
      <c r="A27" s="66" t="s">
        <v>940</v>
      </c>
      <c r="B27" s="67" t="s">
        <v>63</v>
      </c>
      <c r="C27" s="67" t="s">
        <v>122</v>
      </c>
      <c r="D27" s="106" t="s">
        <v>941</v>
      </c>
      <c r="E27" s="106"/>
      <c r="F27" s="106"/>
    </row>
    <row r="28" spans="1:6" ht="14.25" customHeight="1" x14ac:dyDescent="0.35">
      <c r="A28" s="66" t="s">
        <v>942</v>
      </c>
      <c r="B28" s="67" t="s">
        <v>91</v>
      </c>
      <c r="C28" s="67" t="s">
        <v>108</v>
      </c>
      <c r="D28" s="106" t="s">
        <v>943</v>
      </c>
      <c r="E28" s="106"/>
      <c r="F28" s="106"/>
    </row>
  </sheetData>
  <mergeCells count="14">
    <mergeCell ref="C23:F23"/>
    <mergeCell ref="D26:F26"/>
    <mergeCell ref="D27:F27"/>
    <mergeCell ref="D28:F28"/>
    <mergeCell ref="A15:F15"/>
    <mergeCell ref="C16:F16"/>
    <mergeCell ref="B18:F18"/>
    <mergeCell ref="B20:F20"/>
    <mergeCell ref="A22:F22"/>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zoomScale="71" zoomScaleNormal="71" workbookViewId="0">
      <selection activeCell="D8" sqref="D8"/>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07" t="s">
        <v>944</v>
      </c>
      <c r="B1" s="107"/>
      <c r="C1" s="107"/>
      <c r="D1" s="107"/>
      <c r="E1" s="107"/>
      <c r="F1" s="107"/>
      <c r="G1" s="107"/>
      <c r="H1" s="107"/>
      <c r="I1" s="107"/>
      <c r="J1" s="107"/>
      <c r="K1" s="107"/>
      <c r="L1" s="107"/>
    </row>
    <row r="2" spans="1:12" ht="27.75" hidden="1" customHeight="1" x14ac:dyDescent="0.35">
      <c r="A2" s="108" t="s">
        <v>945</v>
      </c>
      <c r="B2" s="108"/>
      <c r="C2" s="108"/>
      <c r="D2" s="108"/>
      <c r="E2" s="108"/>
      <c r="F2" s="108"/>
      <c r="G2" s="108"/>
      <c r="H2" s="108"/>
      <c r="I2" s="108"/>
      <c r="J2" s="108"/>
      <c r="K2" s="108"/>
      <c r="L2" s="108"/>
    </row>
    <row r="4" spans="1:12" ht="19.5" customHeight="1" x14ac:dyDescent="0.35">
      <c r="A4" s="109" t="s">
        <v>946</v>
      </c>
      <c r="B4" s="109"/>
      <c r="C4" s="109"/>
      <c r="D4" s="109"/>
      <c r="E4" s="109"/>
      <c r="F4" s="109"/>
      <c r="G4" s="109"/>
      <c r="H4" s="109"/>
      <c r="I4" s="109"/>
      <c r="J4" s="109"/>
      <c r="K4" s="109"/>
      <c r="L4" s="109"/>
    </row>
    <row r="5" spans="1:12" ht="30" customHeight="1" x14ac:dyDescent="0.35">
      <c r="A5" s="68" t="s">
        <v>947</v>
      </c>
      <c r="B5" s="68" t="s">
        <v>948</v>
      </c>
      <c r="C5" s="68" t="s">
        <v>949</v>
      </c>
      <c r="D5" s="68" t="s">
        <v>950</v>
      </c>
      <c r="E5" s="68" t="s">
        <v>951</v>
      </c>
      <c r="F5" s="68" t="s">
        <v>952</v>
      </c>
      <c r="G5" s="68" t="s">
        <v>953</v>
      </c>
      <c r="H5" s="68" t="s">
        <v>954</v>
      </c>
      <c r="I5" s="68" t="s">
        <v>955</v>
      </c>
      <c r="J5" s="68" t="s">
        <v>956</v>
      </c>
      <c r="K5" s="68" t="s">
        <v>957</v>
      </c>
    </row>
    <row r="6" spans="1:12" ht="42" customHeight="1" x14ac:dyDescent="0.35">
      <c r="A6" s="69" t="s">
        <v>958</v>
      </c>
      <c r="B6" s="70" t="s">
        <v>959</v>
      </c>
      <c r="C6" s="70" t="s">
        <v>960</v>
      </c>
      <c r="D6" s="71" t="s">
        <v>744</v>
      </c>
      <c r="E6" s="72" t="s">
        <v>961</v>
      </c>
      <c r="F6" s="73" t="s">
        <v>961</v>
      </c>
      <c r="G6" s="73" t="s">
        <v>744</v>
      </c>
      <c r="H6" s="73" t="s">
        <v>961</v>
      </c>
      <c r="I6" s="73" t="s">
        <v>961</v>
      </c>
      <c r="J6" s="73" t="s">
        <v>961</v>
      </c>
      <c r="K6" s="73" t="s">
        <v>962</v>
      </c>
    </row>
    <row r="7" spans="1:12" ht="42" customHeight="1" x14ac:dyDescent="0.35">
      <c r="A7" s="74" t="s">
        <v>963</v>
      </c>
      <c r="B7" s="75" t="s">
        <v>964</v>
      </c>
      <c r="C7" s="75" t="s">
        <v>965</v>
      </c>
      <c r="D7" s="76" t="s">
        <v>966</v>
      </c>
      <c r="E7" s="77" t="s">
        <v>967</v>
      </c>
      <c r="F7" s="78" t="s">
        <v>968</v>
      </c>
      <c r="G7" s="78" t="s">
        <v>969</v>
      </c>
      <c r="H7" s="78" t="s">
        <v>970</v>
      </c>
      <c r="I7" s="78" t="s">
        <v>971</v>
      </c>
      <c r="J7" s="78" t="s">
        <v>972</v>
      </c>
      <c r="K7" s="78" t="s">
        <v>973</v>
      </c>
    </row>
    <row r="8" spans="1:12" ht="42" customHeight="1" x14ac:dyDescent="0.35">
      <c r="A8" s="69" t="s">
        <v>974</v>
      </c>
      <c r="B8" s="70" t="s">
        <v>975</v>
      </c>
      <c r="C8" s="70" t="s">
        <v>976</v>
      </c>
      <c r="D8" s="79" t="s">
        <v>977</v>
      </c>
      <c r="E8" s="72" t="s">
        <v>978</v>
      </c>
      <c r="F8" s="73" t="s">
        <v>968</v>
      </c>
      <c r="G8" s="73" t="s">
        <v>979</v>
      </c>
      <c r="H8" s="73" t="s">
        <v>970</v>
      </c>
      <c r="I8" s="73" t="s">
        <v>980</v>
      </c>
      <c r="J8" s="73" t="s">
        <v>981</v>
      </c>
      <c r="K8" s="73" t="s">
        <v>982</v>
      </c>
    </row>
    <row r="9" spans="1:12" ht="42" customHeight="1" x14ac:dyDescent="0.35">
      <c r="A9" s="74" t="s">
        <v>983</v>
      </c>
      <c r="B9" s="75" t="s">
        <v>984</v>
      </c>
      <c r="C9" s="75" t="s">
        <v>985</v>
      </c>
      <c r="D9" s="79" t="s">
        <v>977</v>
      </c>
      <c r="E9" s="77" t="s">
        <v>978</v>
      </c>
      <c r="F9" s="78" t="s">
        <v>968</v>
      </c>
      <c r="G9" s="78" t="s">
        <v>979</v>
      </c>
      <c r="H9" s="78" t="s">
        <v>970</v>
      </c>
      <c r="I9" s="78" t="s">
        <v>986</v>
      </c>
      <c r="J9" s="78" t="s">
        <v>987</v>
      </c>
      <c r="K9" s="78" t="s">
        <v>988</v>
      </c>
    </row>
    <row r="10" spans="1:12" ht="42" customHeight="1" x14ac:dyDescent="0.35">
      <c r="A10" s="69" t="s">
        <v>989</v>
      </c>
      <c r="B10" s="70" t="s">
        <v>990</v>
      </c>
      <c r="C10" s="70" t="s">
        <v>991</v>
      </c>
      <c r="D10" s="80" t="s">
        <v>992</v>
      </c>
      <c r="E10" s="72" t="s">
        <v>993</v>
      </c>
      <c r="F10" s="73" t="s">
        <v>994</v>
      </c>
      <c r="G10" s="73" t="s">
        <v>979</v>
      </c>
      <c r="H10" s="73" t="s">
        <v>970</v>
      </c>
      <c r="I10" s="73" t="s">
        <v>995</v>
      </c>
      <c r="J10" s="73" t="s">
        <v>996</v>
      </c>
      <c r="K10" s="73" t="s">
        <v>997</v>
      </c>
    </row>
    <row r="11" spans="1:12" ht="42" customHeight="1" x14ac:dyDescent="0.35">
      <c r="A11" s="74" t="s">
        <v>998</v>
      </c>
      <c r="B11" s="75" t="s">
        <v>999</v>
      </c>
      <c r="C11" s="75" t="s">
        <v>1000</v>
      </c>
      <c r="D11" s="81" t="s">
        <v>1001</v>
      </c>
      <c r="E11" s="77" t="s">
        <v>993</v>
      </c>
      <c r="F11" s="78" t="s">
        <v>1002</v>
      </c>
      <c r="G11" s="78" t="s">
        <v>1003</v>
      </c>
      <c r="H11" s="78" t="s">
        <v>970</v>
      </c>
      <c r="I11" s="78" t="s">
        <v>1004</v>
      </c>
      <c r="J11" s="78" t="s">
        <v>996</v>
      </c>
      <c r="K11" s="78" t="s">
        <v>1005</v>
      </c>
    </row>
    <row r="12" spans="1:12" ht="42" customHeight="1" x14ac:dyDescent="0.35">
      <c r="A12" s="69" t="s">
        <v>1006</v>
      </c>
      <c r="B12" s="70" t="s">
        <v>1007</v>
      </c>
      <c r="C12" s="70" t="s">
        <v>1008</v>
      </c>
      <c r="D12" s="82" t="s">
        <v>829</v>
      </c>
      <c r="E12" s="72" t="s">
        <v>1009</v>
      </c>
      <c r="F12" s="73" t="s">
        <v>1010</v>
      </c>
      <c r="G12" s="73" t="s">
        <v>1011</v>
      </c>
      <c r="H12" s="73" t="s">
        <v>1012</v>
      </c>
      <c r="I12" s="73" t="s">
        <v>1013</v>
      </c>
      <c r="J12" s="73" t="s">
        <v>996</v>
      </c>
      <c r="K12" s="73" t="s">
        <v>1014</v>
      </c>
    </row>
    <row r="13" spans="1:12" ht="42" customHeight="1" x14ac:dyDescent="0.35">
      <c r="A13" s="74" t="s">
        <v>1015</v>
      </c>
      <c r="B13" s="75" t="s">
        <v>1016</v>
      </c>
      <c r="C13" s="75" t="s">
        <v>1017</v>
      </c>
      <c r="D13" s="82" t="s">
        <v>829</v>
      </c>
      <c r="E13" s="77" t="s">
        <v>1009</v>
      </c>
      <c r="F13" s="78" t="s">
        <v>1018</v>
      </c>
      <c r="G13" s="78" t="s">
        <v>1011</v>
      </c>
      <c r="H13" s="78" t="s">
        <v>1012</v>
      </c>
      <c r="I13" s="78" t="s">
        <v>1019</v>
      </c>
      <c r="J13" s="78" t="s">
        <v>1020</v>
      </c>
      <c r="K13" s="78" t="s">
        <v>1021</v>
      </c>
    </row>
    <row r="16" spans="1:12" ht="19.5" customHeight="1" x14ac:dyDescent="0.35">
      <c r="A16" s="110" t="s">
        <v>1022</v>
      </c>
      <c r="B16" s="110"/>
      <c r="C16" s="110"/>
      <c r="D16" s="110"/>
      <c r="E16" s="110"/>
      <c r="F16" s="110"/>
      <c r="G16" s="110"/>
      <c r="H16" s="110"/>
      <c r="I16" s="110"/>
      <c r="J16" s="83"/>
      <c r="K16" s="83"/>
      <c r="L16" s="83"/>
    </row>
    <row r="17" spans="1:12" ht="30" customHeight="1" x14ac:dyDescent="0.35">
      <c r="A17" s="68" t="s">
        <v>957</v>
      </c>
      <c r="B17" s="68" t="s">
        <v>948</v>
      </c>
      <c r="C17" s="68" t="s">
        <v>1023</v>
      </c>
      <c r="D17" s="68" t="s">
        <v>1024</v>
      </c>
      <c r="E17" s="68" t="s">
        <v>1025</v>
      </c>
      <c r="F17" s="68" t="s">
        <v>1026</v>
      </c>
      <c r="G17" s="68" t="s">
        <v>1027</v>
      </c>
      <c r="H17" s="68" t="s">
        <v>955</v>
      </c>
      <c r="I17" s="84" t="s">
        <v>1028</v>
      </c>
      <c r="J17" s="85"/>
      <c r="K17" s="85"/>
      <c r="L17" s="85"/>
    </row>
    <row r="18" spans="1:12" ht="39.75" customHeight="1" x14ac:dyDescent="0.35">
      <c r="A18" s="86" t="s">
        <v>1029</v>
      </c>
      <c r="B18" s="67" t="s">
        <v>1030</v>
      </c>
      <c r="C18" s="67" t="s">
        <v>968</v>
      </c>
      <c r="D18" s="67" t="s">
        <v>1031</v>
      </c>
      <c r="E18" s="67" t="s">
        <v>1032</v>
      </c>
      <c r="F18" s="67" t="s">
        <v>1033</v>
      </c>
      <c r="G18" s="67" t="s">
        <v>1034</v>
      </c>
      <c r="H18" s="67" t="s">
        <v>961</v>
      </c>
      <c r="I18" s="67" t="s">
        <v>1035</v>
      </c>
    </row>
    <row r="19" spans="1:12" ht="39.75" customHeight="1" x14ac:dyDescent="0.35">
      <c r="A19" s="87" t="s">
        <v>1036</v>
      </c>
      <c r="B19" s="67" t="s">
        <v>1037</v>
      </c>
      <c r="C19" s="67" t="s">
        <v>968</v>
      </c>
      <c r="D19" s="67" t="s">
        <v>1038</v>
      </c>
      <c r="E19" s="67" t="s">
        <v>1039</v>
      </c>
      <c r="F19" s="67" t="s">
        <v>1040</v>
      </c>
      <c r="G19" s="67" t="s">
        <v>1041</v>
      </c>
      <c r="H19" s="67" t="s">
        <v>1042</v>
      </c>
      <c r="I19" s="67" t="s">
        <v>1043</v>
      </c>
    </row>
    <row r="20" spans="1:12" ht="39.75" customHeight="1" x14ac:dyDescent="0.35">
      <c r="A20" s="88" t="s">
        <v>1044</v>
      </c>
      <c r="B20" s="67" t="s">
        <v>1045</v>
      </c>
      <c r="C20" s="67" t="s">
        <v>994</v>
      </c>
      <c r="D20" s="67" t="s">
        <v>1046</v>
      </c>
      <c r="E20" s="67" t="s">
        <v>1047</v>
      </c>
      <c r="F20" s="67" t="s">
        <v>1048</v>
      </c>
      <c r="G20" s="67" t="s">
        <v>1049</v>
      </c>
      <c r="H20" s="67" t="s">
        <v>1050</v>
      </c>
      <c r="I20" s="67" t="s">
        <v>1051</v>
      </c>
    </row>
    <row r="21" spans="1:12" ht="39.75" customHeight="1" x14ac:dyDescent="0.35">
      <c r="A21" s="89" t="s">
        <v>1052</v>
      </c>
      <c r="B21" s="67" t="s">
        <v>1053</v>
      </c>
      <c r="C21" s="67" t="s">
        <v>1002</v>
      </c>
      <c r="D21" s="67" t="s">
        <v>1054</v>
      </c>
      <c r="E21" s="67" t="s">
        <v>1055</v>
      </c>
      <c r="F21" s="67" t="s">
        <v>1056</v>
      </c>
      <c r="G21" s="67" t="s">
        <v>1057</v>
      </c>
      <c r="H21" s="67" t="s">
        <v>1058</v>
      </c>
      <c r="I21" s="67" t="s">
        <v>1059</v>
      </c>
    </row>
    <row r="22" spans="1:12" ht="39.75" customHeight="1" x14ac:dyDescent="0.35">
      <c r="A22" s="90" t="s">
        <v>1060</v>
      </c>
      <c r="B22" s="67" t="s">
        <v>1061</v>
      </c>
      <c r="C22" s="67" t="s">
        <v>1062</v>
      </c>
      <c r="D22" s="67" t="s">
        <v>1063</v>
      </c>
      <c r="E22" s="67" t="s">
        <v>1012</v>
      </c>
      <c r="F22" s="67" t="s">
        <v>1064</v>
      </c>
      <c r="G22" s="67" t="s">
        <v>1065</v>
      </c>
      <c r="H22" s="67" t="s">
        <v>1066</v>
      </c>
      <c r="I22" s="67" t="s">
        <v>1067</v>
      </c>
    </row>
    <row r="24" spans="1:12" ht="19.5" customHeight="1" x14ac:dyDescent="0.35">
      <c r="A24" s="110" t="s">
        <v>1068</v>
      </c>
      <c r="B24" s="110"/>
      <c r="C24" s="110"/>
      <c r="D24" s="110"/>
      <c r="E24" s="110"/>
    </row>
    <row r="25" spans="1:12" ht="30" customHeight="1" x14ac:dyDescent="0.35">
      <c r="A25" s="68" t="s">
        <v>1069</v>
      </c>
      <c r="B25" s="68" t="s">
        <v>1070</v>
      </c>
      <c r="C25" s="68" t="s">
        <v>1071</v>
      </c>
      <c r="D25" s="68" t="s">
        <v>1072</v>
      </c>
      <c r="E25" s="68" t="s">
        <v>1073</v>
      </c>
    </row>
    <row r="26" spans="1:12" ht="24" customHeight="1" x14ac:dyDescent="0.35">
      <c r="A26" s="66" t="s">
        <v>1074</v>
      </c>
      <c r="B26" s="67" t="s">
        <v>1075</v>
      </c>
      <c r="C26" s="67" t="s">
        <v>1076</v>
      </c>
      <c r="D26" s="67" t="s">
        <v>1077</v>
      </c>
      <c r="E26" s="67" t="s">
        <v>33</v>
      </c>
    </row>
    <row r="27" spans="1:12" ht="24" customHeight="1" x14ac:dyDescent="0.35">
      <c r="A27" s="91" t="s">
        <v>1077</v>
      </c>
      <c r="B27" s="92" t="s">
        <v>1078</v>
      </c>
      <c r="C27" s="92" t="s">
        <v>1076</v>
      </c>
      <c r="D27" s="92" t="s">
        <v>1079</v>
      </c>
      <c r="E27" s="92" t="s">
        <v>33</v>
      </c>
    </row>
    <row r="28" spans="1:12" ht="24" customHeight="1" x14ac:dyDescent="0.35">
      <c r="A28" s="66" t="s">
        <v>1079</v>
      </c>
      <c r="B28" s="67" t="s">
        <v>1080</v>
      </c>
      <c r="C28" s="67" t="s">
        <v>1081</v>
      </c>
      <c r="D28" s="67" t="s">
        <v>1082</v>
      </c>
      <c r="E28" s="67" t="s">
        <v>33</v>
      </c>
    </row>
    <row r="29" spans="1:12" ht="24" customHeight="1" x14ac:dyDescent="0.35">
      <c r="A29" s="91" t="s">
        <v>1083</v>
      </c>
      <c r="B29" s="92" t="s">
        <v>1084</v>
      </c>
      <c r="C29" s="92" t="s">
        <v>1081</v>
      </c>
      <c r="D29" s="92" t="s">
        <v>1085</v>
      </c>
      <c r="E29" s="92" t="s">
        <v>33</v>
      </c>
    </row>
    <row r="30" spans="1:12" ht="24" customHeight="1" x14ac:dyDescent="0.35">
      <c r="A30" s="66" t="s">
        <v>1086</v>
      </c>
      <c r="B30" s="67" t="s">
        <v>1087</v>
      </c>
      <c r="C30" s="67" t="s">
        <v>1088</v>
      </c>
      <c r="D30" s="67" t="s">
        <v>1089</v>
      </c>
      <c r="E30" s="67" t="s">
        <v>1090</v>
      </c>
    </row>
    <row r="31" spans="1:12" ht="24" customHeight="1" x14ac:dyDescent="0.35">
      <c r="A31" s="91" t="s">
        <v>1091</v>
      </c>
      <c r="B31" s="92" t="s">
        <v>1092</v>
      </c>
      <c r="C31" s="92" t="s">
        <v>1093</v>
      </c>
      <c r="D31" s="92" t="s">
        <v>1094</v>
      </c>
      <c r="E31" s="92" t="s">
        <v>33</v>
      </c>
    </row>
    <row r="32" spans="1:12" ht="24" customHeight="1" x14ac:dyDescent="0.35">
      <c r="A32" s="66" t="s">
        <v>1095</v>
      </c>
      <c r="B32" s="67" t="s">
        <v>1096</v>
      </c>
      <c r="C32" s="67" t="s">
        <v>1093</v>
      </c>
      <c r="D32" s="67" t="s">
        <v>1097</v>
      </c>
      <c r="E32" s="67" t="s">
        <v>1098</v>
      </c>
    </row>
    <row r="33" spans="1:12" ht="24" customHeight="1" x14ac:dyDescent="0.35">
      <c r="A33" s="91" t="s">
        <v>1097</v>
      </c>
      <c r="B33" s="92" t="s">
        <v>1099</v>
      </c>
      <c r="C33" s="92" t="s">
        <v>1093</v>
      </c>
      <c r="D33" s="92" t="s">
        <v>1079</v>
      </c>
      <c r="E33" s="92" t="s">
        <v>52</v>
      </c>
    </row>
    <row r="35" spans="1:12" ht="43.5" customHeight="1" x14ac:dyDescent="0.35">
      <c r="A35" s="111" t="s">
        <v>1100</v>
      </c>
      <c r="B35" s="111"/>
      <c r="C35" s="111"/>
      <c r="D35" s="111"/>
      <c r="E35" s="111"/>
      <c r="F35" s="111"/>
      <c r="G35" s="111"/>
      <c r="H35" s="111"/>
      <c r="I35" s="111"/>
      <c r="J35" s="111"/>
      <c r="K35" s="111"/>
      <c r="L35" s="111"/>
    </row>
  </sheetData>
  <mergeCells count="6">
    <mergeCell ref="A35:L3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zoomScaleNormal="100" workbookViewId="0"/>
  </sheetViews>
  <sheetFormatPr defaultColWidth="8.6328125" defaultRowHeight="14.5" x14ac:dyDescent="0.35"/>
  <cols>
    <col min="1" max="1" width="6" customWidth="1"/>
    <col min="2" max="2" width="9" customWidth="1"/>
    <col min="3" max="3" width="26" customWidth="1"/>
    <col min="4" max="4" width="18" customWidth="1"/>
    <col min="5" max="5" width="10" customWidth="1"/>
    <col min="6" max="6" width="40" customWidth="1"/>
    <col min="7" max="7" width="54" customWidth="1"/>
    <col min="8" max="8" width="20" customWidth="1"/>
    <col min="9" max="9" width="13" hidden="1" customWidth="1"/>
  </cols>
  <sheetData>
    <row r="1" spans="1:5" ht="323.25" customHeight="1" x14ac:dyDescent="0.35">
      <c r="A1" s="93" t="s">
        <v>1101</v>
      </c>
    </row>
    <row r="2" spans="1:5" ht="273" customHeight="1" x14ac:dyDescent="0.35">
      <c r="A2" s="94" t="s">
        <v>1102</v>
      </c>
    </row>
    <row r="4" spans="1:5" ht="68.25" customHeight="1" x14ac:dyDescent="0.35">
      <c r="A4" s="46" t="s">
        <v>1103</v>
      </c>
    </row>
    <row r="5" spans="1:5" ht="23.25" customHeight="1" x14ac:dyDescent="0.35">
      <c r="A5" s="46" t="s">
        <v>1104</v>
      </c>
      <c r="B5" s="95" t="s">
        <v>1105</v>
      </c>
      <c r="C5" s="95" t="s">
        <v>1106</v>
      </c>
      <c r="D5" s="95" t="s">
        <v>1071</v>
      </c>
      <c r="E5" s="95" t="s">
        <v>1107</v>
      </c>
    </row>
    <row r="6" spans="1:5" ht="21.75" customHeight="1" x14ac:dyDescent="0.35">
      <c r="A6" s="46" t="s">
        <v>914</v>
      </c>
      <c r="B6" s="95" t="s">
        <v>1108</v>
      </c>
      <c r="C6" s="95" t="s">
        <v>1109</v>
      </c>
      <c r="D6" s="95" t="s">
        <v>968</v>
      </c>
      <c r="E6" s="95" t="s">
        <v>1110</v>
      </c>
    </row>
    <row r="7" spans="1:5" ht="32.25" customHeight="1" x14ac:dyDescent="0.35">
      <c r="A7" s="46" t="s">
        <v>917</v>
      </c>
      <c r="B7" s="95" t="s">
        <v>1111</v>
      </c>
      <c r="C7" s="95" t="s">
        <v>1112</v>
      </c>
      <c r="D7" s="95" t="s">
        <v>968</v>
      </c>
      <c r="E7" s="95" t="s">
        <v>1113</v>
      </c>
    </row>
    <row r="8" spans="1:5" ht="32.25" customHeight="1" x14ac:dyDescent="0.35">
      <c r="A8" s="46" t="s">
        <v>920</v>
      </c>
      <c r="B8" s="95" t="s">
        <v>1114</v>
      </c>
      <c r="C8" s="95" t="s">
        <v>1115</v>
      </c>
      <c r="D8" s="95" t="s">
        <v>994</v>
      </c>
      <c r="E8" s="95" t="s">
        <v>1116</v>
      </c>
    </row>
    <row r="9" spans="1:5" ht="32.25" customHeight="1" x14ac:dyDescent="0.35">
      <c r="A9" s="46" t="s">
        <v>923</v>
      </c>
      <c r="B9" s="95" t="s">
        <v>1117</v>
      </c>
      <c r="C9" s="95" t="s">
        <v>1118</v>
      </c>
      <c r="D9" s="95" t="s">
        <v>1002</v>
      </c>
      <c r="E9" s="95" t="s">
        <v>1119</v>
      </c>
    </row>
    <row r="10" spans="1:5" ht="32.25" customHeight="1" x14ac:dyDescent="0.35">
      <c r="A10" s="46" t="s">
        <v>829</v>
      </c>
      <c r="B10" s="95" t="s">
        <v>1120</v>
      </c>
      <c r="C10" s="95" t="s">
        <v>1121</v>
      </c>
      <c r="D10" s="95" t="s">
        <v>386</v>
      </c>
      <c r="E10" s="95" t="s">
        <v>1012</v>
      </c>
    </row>
    <row r="11" spans="1:5" ht="53.25" customHeight="1" x14ac:dyDescent="0.35">
      <c r="A11" s="46" t="s">
        <v>1122</v>
      </c>
      <c r="B11" s="95" t="s">
        <v>1123</v>
      </c>
      <c r="C11" s="95" t="s">
        <v>1124</v>
      </c>
      <c r="D11" s="95" t="s">
        <v>386</v>
      </c>
      <c r="E11" s="95" t="s">
        <v>1012</v>
      </c>
    </row>
    <row r="13" spans="1:5" ht="90.75" customHeight="1" x14ac:dyDescent="0.35">
      <c r="A13" s="46" t="s">
        <v>1125</v>
      </c>
    </row>
    <row r="14" spans="1:5" ht="202.5" customHeight="1" x14ac:dyDescent="0.35">
      <c r="A14" s="46" t="s">
        <v>1126</v>
      </c>
    </row>
    <row r="15" spans="1:5" ht="270" customHeight="1" x14ac:dyDescent="0.35">
      <c r="A15" s="46" t="s">
        <v>1127</v>
      </c>
    </row>
    <row r="16" spans="1:5" ht="303" customHeight="1" x14ac:dyDescent="0.35">
      <c r="A16" s="46" t="s">
        <v>1128</v>
      </c>
    </row>
    <row r="17" spans="1:9" ht="270" customHeight="1" x14ac:dyDescent="0.35">
      <c r="A17" s="46" t="s">
        <v>1129</v>
      </c>
    </row>
    <row r="18" spans="1:9" ht="270" customHeight="1" x14ac:dyDescent="0.35">
      <c r="A18" s="46" t="s">
        <v>1130</v>
      </c>
    </row>
    <row r="20" spans="1:9" ht="236.25" customHeight="1" x14ac:dyDescent="0.35">
      <c r="A20" s="46" t="s">
        <v>1131</v>
      </c>
    </row>
    <row r="21" spans="1:9" ht="15" customHeight="1" x14ac:dyDescent="0.35">
      <c r="A21" s="36" t="s">
        <v>1132</v>
      </c>
      <c r="B21" s="36" t="s">
        <v>14</v>
      </c>
      <c r="C21" s="36" t="s">
        <v>16</v>
      </c>
      <c r="D21" s="36" t="s">
        <v>18</v>
      </c>
      <c r="E21" s="36" t="s">
        <v>1133</v>
      </c>
      <c r="F21" s="36" t="s">
        <v>362</v>
      </c>
      <c r="G21" s="36" t="s">
        <v>363</v>
      </c>
      <c r="H21" s="36" t="s">
        <v>364</v>
      </c>
      <c r="I21" s="36" t="s">
        <v>1134</v>
      </c>
    </row>
    <row r="22" spans="1:9" ht="67.5" customHeight="1" x14ac:dyDescent="0.35">
      <c r="A22" s="96">
        <v>1</v>
      </c>
      <c r="B22" s="96" t="s">
        <v>28</v>
      </c>
      <c r="C22" s="97" t="s">
        <v>30</v>
      </c>
      <c r="D22" s="97" t="s">
        <v>32</v>
      </c>
      <c r="E22" s="96">
        <v>100</v>
      </c>
      <c r="F22" s="97" t="str">
        <f>IFERROR(INDEX('Scoring Engine (Rules)'!$O$5:$O$160,MATCH($B22&amp;"|"&amp;$I22,'Scoring Engine (Rules)'!$R$5:$R$160,0)),"")</f>
        <v>Severe / critical — utilisation above 95% for 30+ days; chronic over-reliance — possible inability to rotate WC, or diversion/ever-greening.</v>
      </c>
      <c r="G22" s="97" t="str">
        <f>IFERROR(INDEX('Scoring Engine (Rules)'!$P$5:$P$160,MATCH($B22&amp;"|"&amp;$I22,'Scoring Engine (Rules)'!$R$5:$R$160,0)),"")</f>
        <v>1) Restrict fresh drawals pending review. 2) Investigate diversion (routing gaps, ad-hoc pattern). 3) Full viability / limit-rationalisation review; escalate to Credit.</v>
      </c>
      <c r="H22" s="97" t="str">
        <f>IFERROR(INDEX('Scoring Engine (Rules)'!$Q$5:$Q$160,MATCH($B22&amp;"|"&amp;$I22,'Scoring Engine (Rules)'!$R$5:$R$160,0)),"")</f>
        <v>Credit Head / Risk</v>
      </c>
      <c r="I22">
        <v>30</v>
      </c>
    </row>
    <row r="23" spans="1:9" ht="67.5" customHeight="1" x14ac:dyDescent="0.35">
      <c r="A23" s="96">
        <v>2</v>
      </c>
      <c r="B23" s="96" t="s">
        <v>207</v>
      </c>
      <c r="C23" s="97" t="s">
        <v>208</v>
      </c>
      <c r="D23" s="97" t="s">
        <v>210</v>
      </c>
      <c r="E23" s="96">
        <v>100</v>
      </c>
      <c r="F23" s="97" t="str">
        <f>IFERROR(INDEX('Scoring Engine (Rules)'!$O$5:$O$160,MATCH($B23&amp;"|"&amp;$I23,'Scoring Engine (Rules)'!$R$5:$R$160,0)),"")</f>
        <v>Severe / critical — 3+ months overdue; severe — large statutory arrears ranking ahead of the bank, attachment risk.</v>
      </c>
      <c r="G23" s="97" t="str">
        <f>IFERROR(INDEX('Scoring Engine (Rules)'!$P$5:$P$160,MATCH($B23&amp;"|"&amp;$I23,'Scoring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3" s="97" t="str">
        <f>IFERROR(INDEX('Scoring Engine (Rules)'!$Q$5:$Q$160,MATCH($B23&amp;"|"&amp;$I23,'Scoring Engine (Rules)'!$R$5:$R$160,0)),"")</f>
        <v>Credit Head / Risk (immediate)</v>
      </c>
      <c r="I23">
        <v>35</v>
      </c>
    </row>
    <row r="24" spans="1:9" ht="67.5" customHeight="1" x14ac:dyDescent="0.35">
      <c r="A24" s="96">
        <v>3</v>
      </c>
      <c r="B24" s="96" t="s">
        <v>318</v>
      </c>
      <c r="C24" s="97" t="s">
        <v>319</v>
      </c>
      <c r="D24" s="97" t="s">
        <v>321</v>
      </c>
      <c r="E24" s="96">
        <v>100</v>
      </c>
      <c r="F24" s="97" t="str">
        <f>IFERROR(INDEX('Scoring Engine (Rules)'!$O$5:$O$160,MATCH($B24&amp;"|"&amp;$I24,'Scoring Engine (Rules)'!$R$5:$R$160,0)),"")</f>
        <v>Severe / critical — DSCR below 1.25; thin-to-inadequate coverage, cash accruals may not comfortably cover debt service.</v>
      </c>
      <c r="G24" s="97" t="str">
        <f>IFERROR(INDEX('Scoring Engine (Rules)'!$P$5:$P$160,MATCH($B24&amp;"|"&amp;$I24,'Scoring Engine (Rules)'!$R$5:$R$160,0)),"")</f>
        <v>1) Reassess repayment capacity, refinancing risk and viability. 2) Corrective / restructuring assessment. 3) Escalate to Credit.</v>
      </c>
      <c r="H24" s="97" t="str">
        <f>IFERROR(INDEX('Scoring Engine (Rules)'!$Q$5:$Q$160,MATCH($B24&amp;"|"&amp;$I24,'Scoring Engine (Rules)'!$R$5:$R$160,0)),"")</f>
        <v>Credit Head / Risk</v>
      </c>
      <c r="I24">
        <v>40</v>
      </c>
    </row>
    <row r="25" spans="1:9" ht="67.5" customHeight="1" x14ac:dyDescent="0.35">
      <c r="A25" s="96">
        <v>4</v>
      </c>
      <c r="B25" s="96" t="s">
        <v>328</v>
      </c>
      <c r="C25" s="97" t="s">
        <v>329</v>
      </c>
      <c r="D25" s="97" t="s">
        <v>321</v>
      </c>
      <c r="E25" s="96">
        <v>100</v>
      </c>
      <c r="F25" s="97" t="str">
        <f>IFERROR(INDEX('Scoring Engine (Rules)'!$O$5:$O$160,MATCH($B25&amp;"|"&amp;$I25,'Scoring Engine (Rules)'!$R$5:$R$160,0)),"")</f>
        <v>Severe / critical — leverage above 3.0; high/severe, thin net worth relative to debt and over-leverage risk.</v>
      </c>
      <c r="G25" s="97" t="str">
        <f>IFERROR(INDEX('Scoring Engine (Rules)'!$P$5:$P$160,MATCH($B25&amp;"|"&amp;$I25,'Scoring Engine (Rules)'!$R$5:$R$160,0)),"")</f>
        <v>1) Reassess leverage and net-worth adequacy; seek promoter infusion. 2) Corrective / viability review. 3) Escalate to Credit.</v>
      </c>
      <c r="H25" s="97" t="str">
        <f>IFERROR(INDEX('Scoring Engine (Rules)'!$Q$5:$Q$160,MATCH($B25&amp;"|"&amp;$I25,'Scoring Engine (Rules)'!$R$5:$R$160,0)),"")</f>
        <v>Credit Head / Risk</v>
      </c>
      <c r="I25">
        <v>40</v>
      </c>
    </row>
    <row r="26" spans="1:9" ht="67.5" customHeight="1" x14ac:dyDescent="0.35">
      <c r="A26" s="96">
        <v>5</v>
      </c>
      <c r="B26" s="96" t="s">
        <v>108</v>
      </c>
      <c r="C26" s="97" t="s">
        <v>109</v>
      </c>
      <c r="D26" s="97" t="s">
        <v>83</v>
      </c>
      <c r="E26" s="96">
        <v>75</v>
      </c>
      <c r="F26" s="97" t="str">
        <f>IFERROR(INDEX('Scoring Engine (Rules)'!$O$5:$O$160,MATCH($B26&amp;"|"&amp;$I26,'Scoring Engine (Rules)'!$R$5:$R$160,0)),"")</f>
        <v>High concern — provisions up &gt;25–50%; material deterioration in asset quality.</v>
      </c>
      <c r="G26" s="97" t="str">
        <f>IFERROR(INDEX('Scoring Engine (Rules)'!$P$5:$P$160,MATCH($B26&amp;"|"&amp;$I26,'Scoring Engine (Rules)'!$R$5:$R$160,0)),"")</f>
        <v>1) Reassess viability given the losses. 2) Enhanced monitoring. 3) Escalate to Credit.</v>
      </c>
      <c r="H26" s="97" t="str">
        <f>IFERROR(INDEX('Scoring Engine (Rules)'!$Q$5:$Q$160,MATCH($B26&amp;"|"&amp;$I26,'Scoring Engine (Rules)'!$R$5:$R$160,0)),"")</f>
        <v>Credit Committee / Zonal Credit</v>
      </c>
      <c r="I26">
        <v>30</v>
      </c>
    </row>
    <row r="27" spans="1:9" ht="67.5" customHeight="1" x14ac:dyDescent="0.35">
      <c r="A27" s="96">
        <v>6</v>
      </c>
      <c r="B27" s="96" t="s">
        <v>91</v>
      </c>
      <c r="C27" s="97" t="s">
        <v>92</v>
      </c>
      <c r="D27" s="97" t="s">
        <v>83</v>
      </c>
      <c r="E27" s="96">
        <v>66.7</v>
      </c>
      <c r="F27" s="97" t="str">
        <f>IFERROR(INDEX('Scoring Engine (Rules)'!$O$5:$O$160,MATCH($B27&amp;"|"&amp;$I27,'Scoring Engine (Rules)'!$R$5:$R$160,0)),"")</f>
        <v>Elevated concern — debtor days +30–60; material tie-up of working capital in receivables.</v>
      </c>
      <c r="G27" s="97" t="str">
        <f>IFERROR(INDEX('Scoring Engine (Rules)'!$P$5:$P$160,MATCH($B27&amp;"|"&amp;$I27,'Scoring Engine (Rules)'!$R$5:$R$160,0)),"")</f>
        <v>1) Order a receivables audit. 2) Exclude &gt;90-day receivables from DP. 3) Monitor monthly.</v>
      </c>
      <c r="H27" s="97" t="str">
        <f>IFERROR(INDEX('Scoring Engine (Rules)'!$Q$5:$Q$160,MATCH($B27&amp;"|"&amp;$I27,'Scoring Engine (Rules)'!$R$5:$R$160,0)),"")</f>
        <v>Credit Committee / Zonal Credit</v>
      </c>
      <c r="I27">
        <v>20</v>
      </c>
    </row>
    <row r="28" spans="1:9" ht="67.5" customHeight="1" x14ac:dyDescent="0.35">
      <c r="A28" s="96">
        <v>7</v>
      </c>
      <c r="B28" s="96" t="s">
        <v>49</v>
      </c>
      <c r="C28" s="97" t="s">
        <v>50</v>
      </c>
      <c r="D28" s="97" t="s">
        <v>32</v>
      </c>
      <c r="E28" s="96">
        <v>57.1</v>
      </c>
      <c r="F28" s="97" t="str">
        <f>IFERROR(INDEX('Scoring Engine (Rules)'!$O$5:$O$160,MATCH($B28&amp;"|"&amp;$I28,'Scoring Engine (Rules)'!$R$5:$R$160,0)),"")</f>
        <v>Elevated concern — credits down 20–40%; material drop — genuine sales fall or turnover being diverted elsewhere.</v>
      </c>
      <c r="G28" s="97" t="str">
        <f>IFERROR(INDEX('Scoring Engine (Rules)'!$P$5:$P$160,MATCH($B28&amp;"|"&amp;$I28,'Scoring Engine (Rules)'!$R$5:$R$160,0)),"")</f>
        <v>1) Stipulate proportionate turnover routing through the bank. 2) Verify sales via GST returns. 3) Monitor monthly credits vs sales.</v>
      </c>
      <c r="H28" s="97" t="str">
        <f>IFERROR(INDEX('Scoring Engine (Rules)'!$Q$5:$Q$160,MATCH($B28&amp;"|"&amp;$I28,'Scoring Engine (Rules)'!$R$5:$R$160,0)),"")</f>
        <v>RM + Credit Analyst</v>
      </c>
      <c r="I28">
        <v>20</v>
      </c>
    </row>
    <row r="29" spans="1:9" ht="67.5" customHeight="1" x14ac:dyDescent="0.35">
      <c r="A29" s="96">
        <v>8</v>
      </c>
      <c r="B29" s="96" t="s">
        <v>80</v>
      </c>
      <c r="C29" s="97" t="s">
        <v>81</v>
      </c>
      <c r="D29" s="97" t="s">
        <v>83</v>
      </c>
      <c r="E29" s="96">
        <v>57.1</v>
      </c>
      <c r="F29" s="97" t="str">
        <f>IFERROR(INDEX('Scoring Engine (Rules)'!$O$5:$O$160,MATCH($B29&amp;"|"&amp;$I29,'Scoring Engine (Rules)'!$R$5:$R$160,0)),"")</f>
        <v>Elevated concern — turnover down 20–40%; a genuine downturn or loss of key customers.</v>
      </c>
      <c r="G29" s="97" t="str">
        <f>IFERROR(INDEX('Scoring Engine (Rules)'!$P$5:$P$160,MATCH($B29&amp;"|"&amp;$I29,'Scoring Engine (Rules)'!$R$5:$R$160,0)),"")</f>
        <v>1) Reassess repayment capacity and viability with a sensitivity run. 2) Consider whether restructuring is needed. 3) Escalate to Credit.</v>
      </c>
      <c r="H29" s="97" t="str">
        <f>IFERROR(INDEX('Scoring Engine (Rules)'!$Q$5:$Q$160,MATCH($B29&amp;"|"&amp;$I29,'Scoring Engine (Rules)'!$R$5:$R$160,0)),"")</f>
        <v>RM + Credit Analyst</v>
      </c>
      <c r="I29">
        <v>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Aakansh Srivastava</cp:lastModifiedBy>
  <cp:revision>0</cp:revision>
  <dcterms:created xsi:type="dcterms:W3CDTF">2026-09-03T11:21:13Z</dcterms:created>
  <dcterms:modified xsi:type="dcterms:W3CDTF">2026-09-17T07:23:22Z</dcterms:modified>
  <dc:language>en-US</dc:language>
</cp:coreProperties>
</file>